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1\Downloads\TSQL_Power\"/>
    </mc:Choice>
  </mc:AlternateContent>
  <xr:revisionPtr revIDLastSave="0" documentId="13_ncr:1_{D15942EC-F0AD-4BC4-89F2-50B8E30FB765}" xr6:coauthVersionLast="47" xr6:coauthVersionMax="47" xr10:uidLastSave="{00000000-0000-0000-0000-000000000000}"/>
  <bookViews>
    <workbookView xWindow="57480" yWindow="-120" windowWidth="20730" windowHeight="11160" activeTab="4" xr2:uid="{6F6FCC79-7224-4AAE-827B-8EAFE4C67437}"/>
  </bookViews>
  <sheets>
    <sheet name="SELECT" sheetId="2" r:id="rId1"/>
    <sheet name="STORAGE" sheetId="3" r:id="rId2"/>
    <sheet name="TIME" sheetId="4" r:id="rId3"/>
    <sheet name="Hotel" sheetId="6" r:id="rId4"/>
    <sheet name="INDE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6" i="4"/>
  <c r="B5" i="4"/>
</calcChain>
</file>

<file path=xl/sharedStrings.xml><?xml version="1.0" encoding="utf-8"?>
<sst xmlns="http://schemas.openxmlformats.org/spreadsheetml/2006/main" count="222" uniqueCount="150">
  <si>
    <t>Sitzung &gt; Anmeldung &gt; DB</t>
  </si>
  <si>
    <t>CREATE</t>
  </si>
  <si>
    <t>USE</t>
  </si>
  <si>
    <t>Database</t>
  </si>
  <si>
    <t>ALTER</t>
  </si>
  <si>
    <t>BearbeitungsKanal</t>
  </si>
  <si>
    <t>DROP</t>
  </si>
  <si>
    <t>SELECT</t>
  </si>
  <si>
    <t>INSERT</t>
  </si>
  <si>
    <t>UPDATE</t>
  </si>
  <si>
    <t>DELETE</t>
  </si>
  <si>
    <t>TRUNCATE</t>
  </si>
  <si>
    <t>T-SQL Statement</t>
  </si>
  <si>
    <t>Aggregationen</t>
  </si>
  <si>
    <t>SCHREIBT</t>
  </si>
  <si>
    <t>AUSGEFÜHRT</t>
  </si>
  <si>
    <t xml:space="preserve">SUM, MIN, MAX, … </t>
  </si>
  <si>
    <t>Mini-SELECT</t>
  </si>
  <si>
    <t>FROM</t>
  </si>
  <si>
    <t>WHERE</t>
  </si>
  <si>
    <t>GROUP BY</t>
  </si>
  <si>
    <t>HAVING</t>
  </si>
  <si>
    <t>ORDER BY</t>
  </si>
  <si>
    <t>TOP 3</t>
  </si>
  <si>
    <t>LIMITER</t>
  </si>
  <si>
    <t>DISTINCT</t>
  </si>
  <si>
    <t>RAW DATA</t>
  </si>
  <si>
    <t>DATA SET</t>
  </si>
  <si>
    <t>RESULT SET</t>
  </si>
  <si>
    <t>SQL SVR</t>
  </si>
  <si>
    <t>1:1 RAM</t>
  </si>
  <si>
    <t>tempDB</t>
  </si>
  <si>
    <t>Statistics</t>
  </si>
  <si>
    <t xml:space="preserve">8KB </t>
  </si>
  <si>
    <t>1 Speicherseite</t>
  </si>
  <si>
    <t>64 kB</t>
  </si>
  <si>
    <t>1 Speicherblock</t>
  </si>
  <si>
    <t>Leerstand</t>
  </si>
  <si>
    <t>Datensatz</t>
  </si>
  <si>
    <t>Speicherblock</t>
  </si>
  <si>
    <t>20 Datensätze</t>
  </si>
  <si>
    <t>6 Speicherseiten</t>
  </si>
  <si>
    <t>CREATE TABLE</t>
  </si>
  <si>
    <t>Bergma</t>
  </si>
  <si>
    <t>nn</t>
  </si>
  <si>
    <t>INSERT INTO</t>
  </si>
  <si>
    <t>INSERT INTO VALUES</t>
  </si>
  <si>
    <t>Multi Line INSERT</t>
  </si>
  <si>
    <t>INSERT INTO SELECT</t>
  </si>
  <si>
    <t>Count</t>
  </si>
  <si>
    <t>Time (ms)</t>
  </si>
  <si>
    <t>SELECT INTO [new]</t>
  </si>
  <si>
    <t>60.000 E</t>
  </si>
  <si>
    <t>Einheit</t>
  </si>
  <si>
    <t>2 Sekunden</t>
  </si>
  <si>
    <t>30 Minuten</t>
  </si>
  <si>
    <t>3 h 30 min</t>
  </si>
  <si>
    <t>200 Msek</t>
  </si>
  <si>
    <t># Pages</t>
  </si>
  <si>
    <t>Size</t>
  </si>
  <si>
    <t>55 MB</t>
  </si>
  <si>
    <t>110 MB</t>
  </si>
  <si>
    <t>700 MB</t>
  </si>
  <si>
    <t>3,8 GB</t>
  </si>
  <si>
    <t>1 Block = 64kB</t>
  </si>
  <si>
    <t>ISO DATUM</t>
  </si>
  <si>
    <t>2021-09-08T12:05:42.1234567 UTC SQL SVR</t>
  </si>
  <si>
    <t>{date} date</t>
  </si>
  <si>
    <t>{int} hour</t>
  </si>
  <si>
    <t>min</t>
  </si>
  <si>
    <t>sec</t>
  </si>
  <si>
    <t>UTC</t>
  </si>
  <si>
    <t>ISO SHORT</t>
  </si>
  <si>
    <t>20210908 = 2021-09-08T00:00:00.0000000+02:00</t>
  </si>
  <si>
    <t>INTERNAL</t>
  </si>
  <si>
    <t>dd.mm.yy</t>
  </si>
  <si>
    <t>SQL SVR 2012</t>
  </si>
  <si>
    <t>01.01.1970</t>
  </si>
  <si>
    <t>xls</t>
  </si>
  <si>
    <t>SQL SVR 2012 R2</t>
  </si>
  <si>
    <t>01.01.1900</t>
  </si>
  <si>
    <t>xlsx</t>
  </si>
  <si>
    <t>EXCEL</t>
  </si>
  <si>
    <t>00.01.1900</t>
  </si>
  <si>
    <t>YEAR</t>
  </si>
  <si>
    <t>MONTH</t>
  </si>
  <si>
    <t>DAY</t>
  </si>
  <si>
    <t>2021</t>
  </si>
  <si>
    <t>09</t>
  </si>
  <si>
    <t>08</t>
  </si>
  <si>
    <t>Franz</t>
  </si>
  <si>
    <t>Kuno</t>
  </si>
  <si>
    <t>Anton</t>
  </si>
  <si>
    <t>…</t>
  </si>
  <si>
    <t>Doerthe</t>
  </si>
  <si>
    <t>Betram</t>
  </si>
  <si>
    <t>Dagobert</t>
  </si>
  <si>
    <t>Emil</t>
  </si>
  <si>
    <t>Dieter</t>
  </si>
  <si>
    <t>Jonas</t>
  </si>
  <si>
    <t>Zacharias</t>
  </si>
  <si>
    <t>Gustav</t>
  </si>
  <si>
    <t>Sepp</t>
  </si>
  <si>
    <t>Erich</t>
  </si>
  <si>
    <t>WER</t>
  </si>
  <si>
    <t>WO</t>
  </si>
  <si>
    <t>705:01</t>
  </si>
  <si>
    <t>704:04</t>
  </si>
  <si>
    <t>703:01</t>
  </si>
  <si>
    <t>703:02</t>
  </si>
  <si>
    <t>705:03</t>
  </si>
  <si>
    <t>720:04</t>
  </si>
  <si>
    <t>Ceasar</t>
  </si>
  <si>
    <t>720:02</t>
  </si>
  <si>
    <t>..</t>
  </si>
  <si>
    <t>.</t>
  </si>
  <si>
    <t>1010</t>
  </si>
  <si>
    <t>Joseph</t>
  </si>
  <si>
    <t>1021</t>
  </si>
  <si>
    <t>1011</t>
  </si>
  <si>
    <t>1012</t>
  </si>
  <si>
    <t>2010</t>
  </si>
  <si>
    <t>2011</t>
  </si>
  <si>
    <t>Hotel-Problem</t>
  </si>
  <si>
    <t>Raum1</t>
  </si>
  <si>
    <t>Raum2</t>
  </si>
  <si>
    <t>Freitag</t>
  </si>
  <si>
    <t>Samstag</t>
  </si>
  <si>
    <t>Sonntag</t>
  </si>
  <si>
    <t>Torsten</t>
  </si>
  <si>
    <t>Maria</t>
  </si>
  <si>
    <t>Julia</t>
  </si>
  <si>
    <t>HEAP</t>
  </si>
  <si>
    <t>SCAN</t>
  </si>
  <si>
    <t>HDD : INDEX</t>
  </si>
  <si>
    <t>HDD : DATA</t>
  </si>
  <si>
    <t>INDEX</t>
  </si>
  <si>
    <t xml:space="preserve">INDEX </t>
  </si>
  <si>
    <t>BLATT</t>
  </si>
  <si>
    <t>BAUM</t>
  </si>
  <si>
    <t>WURZEL</t>
  </si>
  <si>
    <t>SEEK</t>
  </si>
  <si>
    <t>TELEFONBUCH</t>
  </si>
  <si>
    <t>NONCLUSTERED INDEX</t>
  </si>
  <si>
    <t>LOOKUP</t>
  </si>
  <si>
    <t>TABLE</t>
  </si>
  <si>
    <t>COMBINED INDEX</t>
  </si>
  <si>
    <t>INCLUDING INDEX</t>
  </si>
  <si>
    <t>FILTERED INDEX</t>
  </si>
  <si>
    <t>CLUSTERED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</si>
</sst>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5" borderId="4" applyNumberFormat="0" applyAlignment="0" applyProtection="0"/>
  </cellStyleXfs>
  <cellXfs count="37">
    <xf numFmtId="0" fontId="0" fillId="0" borderId="0" xfId="0"/>
    <xf numFmtId="0" fontId="4" fillId="4" borderId="0" xfId="3"/>
    <xf numFmtId="0" fontId="6" fillId="6" borderId="0" xfId="5"/>
    <xf numFmtId="0" fontId="1" fillId="11" borderId="0" xfId="10"/>
    <xf numFmtId="0" fontId="5" fillId="5" borderId="1" xfId="4"/>
    <xf numFmtId="0" fontId="6" fillId="7" borderId="0" xfId="6"/>
    <xf numFmtId="0" fontId="3" fillId="3" borderId="0" xfId="2"/>
    <xf numFmtId="0" fontId="6" fillId="12" borderId="0" xfId="11"/>
    <xf numFmtId="0" fontId="6" fillId="8" borderId="0" xfId="7"/>
    <xf numFmtId="0" fontId="6" fillId="12" borderId="0" xfId="11" applyAlignment="1">
      <alignment horizontal="right"/>
    </xf>
    <xf numFmtId="0" fontId="6" fillId="9" borderId="0" xfId="8" applyAlignment="1">
      <alignment horizontal="right"/>
    </xf>
    <xf numFmtId="0" fontId="6" fillId="9" borderId="0" xfId="8"/>
    <xf numFmtId="0" fontId="6" fillId="10" borderId="0" xfId="9"/>
    <xf numFmtId="9" fontId="0" fillId="0" borderId="0" xfId="0" applyNumberFormat="1"/>
    <xf numFmtId="3" fontId="0" fillId="0" borderId="0" xfId="0" applyNumberFormat="1"/>
    <xf numFmtId="0" fontId="4" fillId="4" borderId="0" xfId="3" applyAlignment="1">
      <alignment horizontal="left"/>
    </xf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2" fontId="0" fillId="0" borderId="0" xfId="0" applyNumberFormat="1"/>
    <xf numFmtId="46" fontId="0" fillId="0" borderId="0" xfId="0" applyNumberFormat="1"/>
    <xf numFmtId="20" fontId="0" fillId="0" borderId="0" xfId="0" applyNumberFormat="1"/>
    <xf numFmtId="0" fontId="5" fillId="13" borderId="2" xfId="0" applyFont="1" applyFill="1" applyBorder="1"/>
    <xf numFmtId="14" fontId="0" fillId="14" borderId="3" xfId="0" applyNumberFormat="1" applyFill="1" applyBorder="1"/>
    <xf numFmtId="0" fontId="0" fillId="14" borderId="0" xfId="0" quotePrefix="1" applyFill="1"/>
    <xf numFmtId="164" fontId="3" fillId="3" borderId="0" xfId="2" applyNumberFormat="1"/>
    <xf numFmtId="3" fontId="6" fillId="7" borderId="0" xfId="6" applyNumberFormat="1"/>
    <xf numFmtId="0" fontId="7" fillId="15" borderId="4" xfId="12"/>
    <xf numFmtId="0" fontId="0" fillId="0" borderId="0" xfId="0" applyAlignment="1">
      <alignment horizontal="center" vertical="top"/>
    </xf>
    <xf numFmtId="0" fontId="0" fillId="16" borderId="0" xfId="0" applyFill="1"/>
    <xf numFmtId="46" fontId="0" fillId="0" borderId="0" xfId="0" quotePrefix="1" applyNumberFormat="1"/>
    <xf numFmtId="0" fontId="2" fillId="2" borderId="0" xfId="1" applyAlignment="1">
      <alignment horizontal="center"/>
    </xf>
    <xf numFmtId="0" fontId="3" fillId="3" borderId="0" xfId="2" applyAlignment="1">
      <alignment horizontal="center"/>
    </xf>
    <xf numFmtId="0" fontId="6" fillId="7" borderId="0" xfId="6" applyAlignment="1">
      <alignment horizontal="center"/>
    </xf>
    <xf numFmtId="0" fontId="6" fillId="6" borderId="0" xfId="5" applyAlignment="1">
      <alignment horizontal="center"/>
    </xf>
    <xf numFmtId="0" fontId="6" fillId="16" borderId="0" xfId="0" applyFont="1" applyFill="1" applyAlignment="1">
      <alignment horizontal="center"/>
    </xf>
    <xf numFmtId="0" fontId="8" fillId="9" borderId="0" xfId="8" applyFont="1" applyAlignment="1">
      <alignment horizontal="center"/>
    </xf>
  </cellXfs>
  <cellStyles count="13">
    <cellStyle name="20 % - Akzent5" xfId="10" builtinId="46"/>
    <cellStyle name="Akzent1" xfId="5" builtinId="29"/>
    <cellStyle name="Akzent2" xfId="6" builtinId="33"/>
    <cellStyle name="Akzent3" xfId="7" builtinId="37"/>
    <cellStyle name="Akzent4" xfId="8" builtinId="41"/>
    <cellStyle name="Akzent5" xfId="9" builtinId="45"/>
    <cellStyle name="Akzent6" xfId="11" builtinId="49"/>
    <cellStyle name="Ausgabe" xfId="12" builtinId="21"/>
    <cellStyle name="Gut" xfId="1" builtinId="26"/>
    <cellStyle name="Neutral" xfId="3" builtinId="28"/>
    <cellStyle name="Schlecht" xfId="2" builtinId="27"/>
    <cellStyle name="Standard" xfId="0" builtinId="0"/>
    <cellStyle name="Zelle überprüfen" xfId="4" builtinId="2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E063E150-0BF9-44E5-A7B7-D175602C74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EB0BA-57BF-473B-9083-2243158C8A59}" name="Tabelle1" displayName="Tabelle1" ref="Q12:V16" totalsRowShown="0">
  <autoFilter ref="Q12:V16" xr:uid="{F26EB0BA-57BF-473B-9083-2243158C8A59}"/>
  <tableColumns count="6">
    <tableColumn id="1" xr3:uid="{1A5F1115-C861-4FFD-A352-58D21EF10210}" name="Count"/>
    <tableColumn id="2" xr3:uid="{97DDBEC3-2912-4F2A-8BAF-603887CBE084}" name="Time (ms)"/>
    <tableColumn id="3" xr3:uid="{C7A8D7BD-00EC-4DD7-B543-29C711DED118}" name="60.000 E"/>
    <tableColumn id="4" xr3:uid="{5BB37391-090D-4022-8B00-6571A0E6A432}" name="Einheit"/>
    <tableColumn id="5" xr3:uid="{DD94CCD0-05CF-471A-91BF-232A3677AAB5}" name="# Pages"/>
    <tableColumn id="6" xr3:uid="{A087B404-64BD-4919-90D2-08AFE25BCC25}" name="Siz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325111-8C60-4F03-BACB-24A65E5037AA}" name="Tabelle6" displayName="Tabelle6" ref="D3:H4" totalsRowShown="0">
  <autoFilter ref="D3:H4" xr:uid="{7ECF30E2-8FC3-44C2-B073-CF0593E43657}"/>
  <tableColumns count="5">
    <tableColumn id="1" xr3:uid="{16597C18-B1AE-4674-8248-01E60206DC20}" name="{date} date"/>
    <tableColumn id="2" xr3:uid="{AD4AFC23-067F-4B24-96B7-DA9B12681D00}" name="{int} hour"/>
    <tableColumn id="3" xr3:uid="{E3D21C86-D3B5-437A-984E-22CEA4B60FF0}" name="min"/>
    <tableColumn id="4" xr3:uid="{3AEBAC48-B890-4E88-A46A-3FFEF1E693EA}" name="sec"/>
    <tableColumn id="5" xr3:uid="{8262CCD0-DEF5-4A0D-8D20-3873BBCC6356}" name="UT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2F224-49CF-460F-B9BB-CE827FF7D687}" name="Tabelle8" displayName="Tabelle8" ref="E12:H13" totalsRowShown="0" headerRowDxfId="8" dataDxfId="6" headerRowBorderDxfId="7" tableBorderDxfId="5" totalsRowBorderDxfId="4">
  <autoFilter ref="E12:H13" xr:uid="{672BF17F-F322-435E-8611-00D25D86734A}"/>
  <tableColumns count="4">
    <tableColumn id="1" xr3:uid="{FF6813BD-CCA7-4423-9CA0-D39DB78BBD18}" name="{date} date" dataDxfId="3"/>
    <tableColumn id="2" xr3:uid="{5B790A8B-3714-4873-A560-C86EA0546DC8}" name="YEAR" dataDxfId="2"/>
    <tableColumn id="3" xr3:uid="{9A16A877-8160-437C-9AB9-78B3637505A1}" name="MONTH" dataDxfId="1"/>
    <tableColumn id="4" xr3:uid="{94D2B788-431A-4513-AD5E-453DFC376766}" name="DAY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12055C-A08B-4700-B8B5-7BAD82F3F8CE}" name="Tabelle85" displayName="Tabelle85" ref="C17:D23" totalsRowShown="0">
  <autoFilter ref="C17:D23" xr:uid="{B2263FDE-CACA-4BBF-8ED3-013F37424A1B}"/>
  <tableColumns count="2">
    <tableColumn id="1" xr3:uid="{AD4D6C5E-666E-4BF0-BD7E-BCD37CAD380A}" name="WER"/>
    <tableColumn id="2" xr3:uid="{8D4E07D1-82D3-46B8-94F7-98E41A8ED27B}" name="WO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1496CD-EF2C-4557-8E39-D6DA4BF211D5}" name="Tabelle9" displayName="Tabelle9" ref="F17:G23" totalsRowShown="0">
  <autoFilter ref="F17:G23" xr:uid="{C7CD9C12-066E-4B57-8652-855FB1E133C6}"/>
  <tableColumns count="2">
    <tableColumn id="1" xr3:uid="{A394CBD4-DE80-4482-81CD-2B37015A5082}" name="WER"/>
    <tableColumn id="2" xr3:uid="{50D5755A-19F9-494C-A42D-0993D011EA29}" name="WO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BC48D9-F33F-44F1-932E-587EC7FE7E62}" name="Tabelle911" displayName="Tabelle911" ref="I17:J23" totalsRowShown="0">
  <autoFilter ref="I17:J23" xr:uid="{19D28B83-E072-418D-BC72-6E51E4CBFA16}"/>
  <tableColumns count="2">
    <tableColumn id="1" xr3:uid="{AF1EE22D-BB90-44F7-B457-6D9048CAAC66}" name="WER"/>
    <tableColumn id="2" xr3:uid="{9EB99380-AF0A-4C4C-93CE-D0855FCF8604}" name="WO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E80C92-205A-4500-B4D6-07A4A50BA339}" name="Tabelle813" displayName="Tabelle813" ref="C30:D36" totalsRowShown="0">
  <autoFilter ref="C30:D36" xr:uid="{96073AAE-9A3F-4E87-9D31-3A9A28B586A4}"/>
  <tableColumns count="2">
    <tableColumn id="1" xr3:uid="{DA7A5BB7-BC55-4936-955A-01D14352A8C4}" name="WER"/>
    <tableColumn id="2" xr3:uid="{27BADA9E-0EF4-4670-B254-6841EAE5ABD6}" name="WO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01629C-4130-4640-9695-B39877ACFFFE}" name="Tabelle81314" displayName="Tabelle81314" ref="F30:G36" totalsRowShown="0">
  <autoFilter ref="F30:G36" xr:uid="{481D23DB-3775-41E6-8FAC-A129982F22F1}"/>
  <tableColumns count="2">
    <tableColumn id="1" xr3:uid="{8A80F5BF-0FCA-4DA4-B522-71645FA9DFD0}" name="WER"/>
    <tableColumn id="2" xr3:uid="{F46DF10F-6D08-410B-BF4E-5F68DB22F40F}" name="WO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C1F92-EE73-4C5B-B7E0-46CE40C900B7}" name="Tabelle81315" displayName="Tabelle81315" ref="C42:D48" totalsRowShown="0">
  <autoFilter ref="C42:D48" xr:uid="{A0D1C593-40A3-458B-A8E2-062058F4593E}"/>
  <tableColumns count="2">
    <tableColumn id="1" xr3:uid="{B79313A5-DE50-4DA5-BB6D-A65DCB9C9234}" name="WER"/>
    <tableColumn id="2" xr3:uid="{745A1E8F-E433-4940-8CEB-74BEF70A4989}" name="WO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C809-2EB8-4F05-8AA7-8DBE92290096}">
  <dimension ref="B2:J19"/>
  <sheetViews>
    <sheetView zoomScale="140" zoomScaleNormal="140" workbookViewId="0">
      <selection activeCell="I6" sqref="I6"/>
    </sheetView>
  </sheetViews>
  <sheetFormatPr baseColWidth="10" defaultColWidth="8.88671875" defaultRowHeight="14.4" x14ac:dyDescent="0.3"/>
  <cols>
    <col min="2" max="2" width="10.33203125" customWidth="1"/>
    <col min="3" max="3" width="12.109375" bestFit="1" customWidth="1"/>
    <col min="4" max="4" width="10" customWidth="1"/>
    <col min="5" max="5" width="11.109375" bestFit="1" customWidth="1"/>
    <col min="6" max="6" width="10.21875" bestFit="1" customWidth="1"/>
    <col min="7" max="7" width="10" bestFit="1" customWidth="1"/>
    <col min="8" max="8" width="10.109375" customWidth="1"/>
  </cols>
  <sheetData>
    <row r="2" spans="2:10" x14ac:dyDescent="0.3">
      <c r="B2" t="s">
        <v>0</v>
      </c>
      <c r="I2" s="1" t="s">
        <v>1</v>
      </c>
    </row>
    <row r="3" spans="2:10" x14ac:dyDescent="0.3">
      <c r="B3" s="2" t="s">
        <v>2</v>
      </c>
      <c r="C3" t="s">
        <v>3</v>
      </c>
      <c r="I3" s="1" t="s">
        <v>4</v>
      </c>
    </row>
    <row r="4" spans="2:10" ht="15" thickBot="1" x14ac:dyDescent="0.35">
      <c r="B4" t="s">
        <v>5</v>
      </c>
      <c r="I4" s="1" t="s">
        <v>6</v>
      </c>
    </row>
    <row r="5" spans="2:10" ht="15.6" thickTop="1" thickBot="1" x14ac:dyDescent="0.35">
      <c r="B5" s="2" t="s">
        <v>7</v>
      </c>
      <c r="C5" s="3" t="s">
        <v>8</v>
      </c>
      <c r="D5" s="3" t="s">
        <v>9</v>
      </c>
      <c r="E5" s="3" t="s">
        <v>10</v>
      </c>
      <c r="G5" s="4" t="s">
        <v>11</v>
      </c>
    </row>
    <row r="6" spans="2:10" ht="15" thickTop="1" x14ac:dyDescent="0.3"/>
    <row r="8" spans="2:10" x14ac:dyDescent="0.3">
      <c r="B8" s="31" t="s">
        <v>12</v>
      </c>
      <c r="C8" s="31"/>
      <c r="E8" s="32" t="s">
        <v>13</v>
      </c>
      <c r="F8" s="32"/>
    </row>
    <row r="9" spans="2:10" x14ac:dyDescent="0.3">
      <c r="B9" s="2" t="s">
        <v>14</v>
      </c>
      <c r="C9" s="5" t="s">
        <v>15</v>
      </c>
      <c r="E9" s="32" t="s">
        <v>16</v>
      </c>
      <c r="F9" s="32"/>
    </row>
    <row r="11" spans="2:10" x14ac:dyDescent="0.3">
      <c r="B11" s="2" t="s">
        <v>7</v>
      </c>
      <c r="E11" s="6" t="s">
        <v>17</v>
      </c>
      <c r="F11" s="2" t="s">
        <v>7</v>
      </c>
    </row>
    <row r="12" spans="2:10" x14ac:dyDescent="0.3">
      <c r="B12" s="2" t="s">
        <v>18</v>
      </c>
      <c r="D12" s="2" t="s">
        <v>18</v>
      </c>
    </row>
    <row r="13" spans="2:10" x14ac:dyDescent="0.3">
      <c r="B13" s="2" t="s">
        <v>19</v>
      </c>
      <c r="D13" s="2" t="s">
        <v>19</v>
      </c>
    </row>
    <row r="14" spans="2:10" x14ac:dyDescent="0.3">
      <c r="B14" s="2" t="s">
        <v>20</v>
      </c>
      <c r="D14" s="6" t="s">
        <v>20</v>
      </c>
    </row>
    <row r="15" spans="2:10" x14ac:dyDescent="0.3">
      <c r="B15" s="2" t="s">
        <v>21</v>
      </c>
      <c r="E15" s="6" t="s">
        <v>21</v>
      </c>
    </row>
    <row r="16" spans="2:10" x14ac:dyDescent="0.3">
      <c r="B16" s="2" t="s">
        <v>22</v>
      </c>
      <c r="H16" s="7" t="s">
        <v>22</v>
      </c>
      <c r="J16" s="7" t="s">
        <v>23</v>
      </c>
    </row>
    <row r="17" spans="2:10" x14ac:dyDescent="0.3">
      <c r="B17" s="2" t="s">
        <v>24</v>
      </c>
      <c r="I17" s="7" t="s">
        <v>24</v>
      </c>
      <c r="J17" s="7" t="s">
        <v>25</v>
      </c>
    </row>
    <row r="18" spans="2:10" x14ac:dyDescent="0.3">
      <c r="C18" s="5" t="s">
        <v>26</v>
      </c>
      <c r="E18" s="33" t="s">
        <v>27</v>
      </c>
      <c r="F18" s="33"/>
      <c r="H18" s="33" t="s">
        <v>28</v>
      </c>
      <c r="I18" s="33"/>
    </row>
    <row r="19" spans="2:10" x14ac:dyDescent="0.3">
      <c r="C19" s="8" t="s">
        <v>29</v>
      </c>
      <c r="E19" s="8" t="s">
        <v>29</v>
      </c>
      <c r="F19" s="9" t="s">
        <v>30</v>
      </c>
      <c r="H19" s="7" t="s">
        <v>31</v>
      </c>
      <c r="I19" s="10" t="s">
        <v>32</v>
      </c>
    </row>
  </sheetData>
  <mergeCells count="5">
    <mergeCell ref="B8:C8"/>
    <mergeCell ref="E8:F8"/>
    <mergeCell ref="E9:F9"/>
    <mergeCell ref="E18:F18"/>
    <mergeCell ref="H1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07E9-AED1-4EE1-AC68-F3130DD2BA91}">
  <dimension ref="B4:V25"/>
  <sheetViews>
    <sheetView topLeftCell="A3" zoomScale="115" zoomScaleNormal="115" workbookViewId="0">
      <selection activeCell="Q19" sqref="Q19"/>
    </sheetView>
  </sheetViews>
  <sheetFormatPr baseColWidth="10" defaultRowHeight="14.4" x14ac:dyDescent="0.3"/>
  <cols>
    <col min="1" max="1" width="4.6640625" customWidth="1"/>
    <col min="2" max="9" width="4.77734375" customWidth="1"/>
    <col min="11" max="11" width="6.5546875" customWidth="1"/>
    <col min="14" max="14" width="3.109375" customWidth="1"/>
    <col min="15" max="15" width="18.44140625" bestFit="1" customWidth="1"/>
    <col min="16" max="16" width="2.33203125" customWidth="1"/>
    <col min="22" max="22" width="12.44140625" customWidth="1"/>
  </cols>
  <sheetData>
    <row r="4" spans="2:22" x14ac:dyDescent="0.3">
      <c r="B4" s="8"/>
      <c r="C4" s="8"/>
      <c r="D4" s="8"/>
      <c r="E4" s="8"/>
      <c r="F4" s="8"/>
      <c r="G4" s="8"/>
      <c r="H4" s="8"/>
      <c r="I4" s="8"/>
      <c r="K4" t="s">
        <v>35</v>
      </c>
      <c r="L4" t="s">
        <v>36</v>
      </c>
    </row>
    <row r="5" spans="2:22" x14ac:dyDescent="0.3">
      <c r="B5" s="8"/>
      <c r="C5" s="8"/>
      <c r="D5" s="8"/>
      <c r="E5" s="8"/>
      <c r="F5" s="8"/>
      <c r="G5" s="8"/>
      <c r="H5" s="8"/>
      <c r="I5" s="8"/>
      <c r="L5" t="s">
        <v>40</v>
      </c>
    </row>
    <row r="6" spans="2:22" x14ac:dyDescent="0.3">
      <c r="B6" s="11"/>
      <c r="C6" s="11"/>
      <c r="D6" s="11"/>
      <c r="E6" s="11"/>
      <c r="F6" s="12"/>
      <c r="G6" s="12"/>
      <c r="H6" s="12"/>
      <c r="I6" s="8"/>
      <c r="L6" t="s">
        <v>41</v>
      </c>
    </row>
    <row r="7" spans="2:22" x14ac:dyDescent="0.3">
      <c r="B7" s="11"/>
      <c r="C7" s="11"/>
      <c r="D7" s="11"/>
      <c r="E7" s="11"/>
      <c r="F7" s="12"/>
      <c r="G7" s="12"/>
      <c r="H7" s="12"/>
      <c r="I7" s="8"/>
      <c r="K7" s="13">
        <v>0.2</v>
      </c>
      <c r="L7" t="s">
        <v>37</v>
      </c>
    </row>
    <row r="8" spans="2:22" x14ac:dyDescent="0.3">
      <c r="B8" s="7" t="s">
        <v>43</v>
      </c>
      <c r="C8" s="7"/>
      <c r="D8" s="11"/>
      <c r="E8" s="11"/>
      <c r="F8" s="12"/>
      <c r="G8" s="12"/>
      <c r="H8" s="12"/>
      <c r="I8" s="8"/>
    </row>
    <row r="9" spans="2:22" x14ac:dyDescent="0.3">
      <c r="B9" s="11"/>
      <c r="C9" s="11"/>
      <c r="D9" s="11"/>
      <c r="E9" s="11"/>
      <c r="F9" s="12"/>
      <c r="G9" s="12"/>
      <c r="H9" s="12"/>
      <c r="I9" s="8"/>
    </row>
    <row r="10" spans="2:22" x14ac:dyDescent="0.3">
      <c r="B10" s="7"/>
      <c r="C10" s="7"/>
      <c r="D10" s="7"/>
      <c r="E10" s="7"/>
      <c r="F10" s="12"/>
      <c r="G10" s="12"/>
      <c r="H10" s="12"/>
      <c r="I10" s="8"/>
      <c r="V10" t="s">
        <v>64</v>
      </c>
    </row>
    <row r="11" spans="2:22" x14ac:dyDescent="0.3">
      <c r="B11" s="11"/>
      <c r="C11" s="11"/>
      <c r="D11" s="11"/>
      <c r="E11" s="5"/>
      <c r="F11" s="5"/>
      <c r="G11" s="5"/>
      <c r="H11" s="5"/>
      <c r="I11" s="8"/>
      <c r="K11" t="s">
        <v>33</v>
      </c>
      <c r="L11" t="s">
        <v>34</v>
      </c>
    </row>
    <row r="12" spans="2:22" x14ac:dyDescent="0.3">
      <c r="Q12" t="s">
        <v>49</v>
      </c>
      <c r="R12" t="s">
        <v>50</v>
      </c>
      <c r="S12" t="s">
        <v>52</v>
      </c>
      <c r="T12" t="s">
        <v>53</v>
      </c>
      <c r="U12" t="s">
        <v>58</v>
      </c>
      <c r="V12" t="s">
        <v>59</v>
      </c>
    </row>
    <row r="13" spans="2:22" x14ac:dyDescent="0.3">
      <c r="O13" s="5" t="s">
        <v>46</v>
      </c>
      <c r="Q13">
        <v>3</v>
      </c>
      <c r="R13">
        <v>600</v>
      </c>
      <c r="S13" s="14">
        <v>12000000</v>
      </c>
      <c r="T13" t="s">
        <v>56</v>
      </c>
      <c r="U13" s="14">
        <v>60000</v>
      </c>
      <c r="V13" t="s">
        <v>63</v>
      </c>
    </row>
    <row r="14" spans="2:22" x14ac:dyDescent="0.3">
      <c r="L14" s="34" t="s">
        <v>10</v>
      </c>
      <c r="M14" s="34"/>
      <c r="O14" s="5" t="s">
        <v>47</v>
      </c>
      <c r="Q14">
        <v>5</v>
      </c>
      <c r="R14">
        <v>150</v>
      </c>
      <c r="S14" s="14">
        <v>1800000</v>
      </c>
      <c r="T14" t="s">
        <v>55</v>
      </c>
      <c r="U14" s="14">
        <v>12000</v>
      </c>
      <c r="V14" t="s">
        <v>62</v>
      </c>
    </row>
    <row r="15" spans="2:22" x14ac:dyDescent="0.3">
      <c r="O15" s="5" t="s">
        <v>48</v>
      </c>
      <c r="Q15">
        <v>300</v>
      </c>
      <c r="R15">
        <v>10</v>
      </c>
      <c r="S15" s="14">
        <v>2000</v>
      </c>
      <c r="T15" t="s">
        <v>54</v>
      </c>
      <c r="U15" s="14">
        <v>1000</v>
      </c>
      <c r="V15" t="s">
        <v>61</v>
      </c>
    </row>
    <row r="16" spans="2:22" x14ac:dyDescent="0.3">
      <c r="L16" s="34" t="s">
        <v>9</v>
      </c>
      <c r="M16" s="34"/>
      <c r="O16" s="5" t="s">
        <v>51</v>
      </c>
      <c r="Q16">
        <v>60000</v>
      </c>
      <c r="R16">
        <v>200</v>
      </c>
      <c r="S16">
        <v>200</v>
      </c>
      <c r="T16" t="s">
        <v>57</v>
      </c>
      <c r="U16">
        <v>900</v>
      </c>
      <c r="V16" t="s">
        <v>60</v>
      </c>
    </row>
    <row r="18" spans="2:13" x14ac:dyDescent="0.3">
      <c r="B18" s="8"/>
      <c r="C18" s="8"/>
      <c r="D18" s="8"/>
      <c r="E18" s="8"/>
      <c r="F18" s="8"/>
      <c r="G18" s="8"/>
      <c r="H18" s="8"/>
      <c r="I18" s="8"/>
      <c r="L18" s="33" t="s">
        <v>45</v>
      </c>
      <c r="M18" s="33"/>
    </row>
    <row r="19" spans="2:13" x14ac:dyDescent="0.3">
      <c r="B19" s="8"/>
      <c r="C19" s="8"/>
      <c r="D19" s="8"/>
      <c r="E19" s="8"/>
      <c r="F19" s="8"/>
      <c r="G19" s="8"/>
      <c r="H19" s="8"/>
      <c r="I19" s="8"/>
    </row>
    <row r="20" spans="2:13" x14ac:dyDescent="0.3">
      <c r="B20" s="8"/>
      <c r="C20" s="8"/>
      <c r="D20" s="8"/>
      <c r="E20" s="8"/>
      <c r="F20" s="8"/>
      <c r="G20" s="8"/>
      <c r="H20" s="8"/>
      <c r="I20" s="8"/>
      <c r="K20" s="34" t="s">
        <v>42</v>
      </c>
      <c r="L20" s="34"/>
    </row>
    <row r="21" spans="2:13" x14ac:dyDescent="0.3">
      <c r="B21" s="8"/>
      <c r="C21" s="8"/>
      <c r="D21" s="8"/>
      <c r="E21" s="8"/>
      <c r="F21" s="8"/>
      <c r="G21" s="8"/>
      <c r="H21" s="8"/>
      <c r="I21" s="8"/>
    </row>
    <row r="22" spans="2:13" x14ac:dyDescent="0.3">
      <c r="B22" s="8"/>
      <c r="C22" s="8"/>
      <c r="D22" s="8"/>
      <c r="E22" s="8"/>
      <c r="F22" s="8"/>
      <c r="G22" s="8"/>
      <c r="H22" s="8"/>
      <c r="I22" s="8"/>
    </row>
    <row r="23" spans="2:13" x14ac:dyDescent="0.3">
      <c r="B23" s="8"/>
      <c r="C23" s="8"/>
      <c r="D23" s="8"/>
      <c r="E23" s="8"/>
      <c r="F23" s="8"/>
      <c r="G23" s="8"/>
      <c r="H23" s="8"/>
      <c r="I23" s="8"/>
      <c r="K23">
        <v>1</v>
      </c>
      <c r="L23" t="s">
        <v>39</v>
      </c>
    </row>
    <row r="24" spans="2:13" x14ac:dyDescent="0.3">
      <c r="B24" s="8"/>
      <c r="C24" s="8"/>
      <c r="D24" s="8"/>
      <c r="E24" s="8"/>
      <c r="F24" s="8"/>
      <c r="G24" s="8"/>
      <c r="H24" s="8"/>
      <c r="I24" s="8"/>
      <c r="K24">
        <v>1</v>
      </c>
      <c r="L24" t="s">
        <v>38</v>
      </c>
    </row>
    <row r="25" spans="2:13" x14ac:dyDescent="0.3">
      <c r="B25" s="7" t="s">
        <v>44</v>
      </c>
      <c r="C25" s="8"/>
      <c r="D25" s="8"/>
      <c r="E25" s="8"/>
      <c r="F25" s="8"/>
      <c r="G25" s="8"/>
      <c r="H25" s="8"/>
      <c r="I25" s="8"/>
      <c r="K25" s="13">
        <v>0.99</v>
      </c>
      <c r="L25" t="s">
        <v>37</v>
      </c>
    </row>
  </sheetData>
  <mergeCells count="4">
    <mergeCell ref="K20:L20"/>
    <mergeCell ref="L18:M18"/>
    <mergeCell ref="L16:M16"/>
    <mergeCell ref="L14:M14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3D96-F8FC-4530-9F30-43EA3E2E9F0A}">
  <dimension ref="A3:H13"/>
  <sheetViews>
    <sheetView zoomScale="145" zoomScaleNormal="145" workbookViewId="0">
      <selection activeCell="B15" sqref="B15"/>
    </sheetView>
  </sheetViews>
  <sheetFormatPr baseColWidth="10" defaultRowHeight="14.4" x14ac:dyDescent="0.3"/>
  <cols>
    <col min="1" max="1" width="17.77734375" customWidth="1"/>
    <col min="2" max="2" width="46.33203125" customWidth="1"/>
    <col min="5" max="5" width="11.6640625" customWidth="1"/>
  </cols>
  <sheetData>
    <row r="3" spans="1:8" x14ac:dyDescent="0.3">
      <c r="A3" s="6" t="s">
        <v>65</v>
      </c>
      <c r="B3" s="6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</row>
    <row r="4" spans="1:8" x14ac:dyDescent="0.3">
      <c r="A4" s="1" t="s">
        <v>72</v>
      </c>
      <c r="B4" s="15" t="s">
        <v>73</v>
      </c>
      <c r="D4" s="16">
        <v>44447</v>
      </c>
      <c r="E4">
        <v>12</v>
      </c>
      <c r="F4">
        <v>19</v>
      </c>
      <c r="G4">
        <v>42</v>
      </c>
      <c r="H4">
        <v>2</v>
      </c>
    </row>
    <row r="5" spans="1:8" x14ac:dyDescent="0.3">
      <c r="B5" s="17">
        <f ca="1">NOW()</f>
        <v>44449.718649305556</v>
      </c>
    </row>
    <row r="6" spans="1:8" x14ac:dyDescent="0.3">
      <c r="A6" s="6" t="s">
        <v>74</v>
      </c>
      <c r="B6" s="25">
        <f ca="1">NOW()</f>
        <v>44449.718649305556</v>
      </c>
    </row>
    <row r="7" spans="1:8" x14ac:dyDescent="0.3">
      <c r="D7" t="s">
        <v>75</v>
      </c>
    </row>
    <row r="8" spans="1:8" x14ac:dyDescent="0.3">
      <c r="A8" s="2" t="s">
        <v>76</v>
      </c>
      <c r="B8" s="18" t="s">
        <v>77</v>
      </c>
      <c r="C8" t="s">
        <v>78</v>
      </c>
      <c r="D8" s="16">
        <v>36046</v>
      </c>
      <c r="F8" s="19">
        <v>40</v>
      </c>
    </row>
    <row r="9" spans="1:8" x14ac:dyDescent="0.3">
      <c r="A9" s="2" t="s">
        <v>79</v>
      </c>
      <c r="B9" s="18" t="s">
        <v>80</v>
      </c>
      <c r="C9" t="s">
        <v>81</v>
      </c>
      <c r="D9" s="16">
        <v>44417</v>
      </c>
      <c r="F9" s="19">
        <v>40</v>
      </c>
    </row>
    <row r="10" spans="1:8" x14ac:dyDescent="0.3">
      <c r="A10" s="7" t="s">
        <v>82</v>
      </c>
      <c r="B10" s="18" t="s">
        <v>83</v>
      </c>
      <c r="F10" s="20">
        <v>1.6666666666666667</v>
      </c>
    </row>
    <row r="12" spans="1:8" x14ac:dyDescent="0.3">
      <c r="C12" s="21">
        <v>0.375</v>
      </c>
      <c r="E12" s="22" t="s">
        <v>67</v>
      </c>
      <c r="F12" s="22" t="s">
        <v>84</v>
      </c>
      <c r="G12" s="22" t="s">
        <v>85</v>
      </c>
      <c r="H12" s="22" t="s">
        <v>86</v>
      </c>
    </row>
    <row r="13" spans="1:8" x14ac:dyDescent="0.3">
      <c r="B13" s="17">
        <f>C13-C12</f>
        <v>0.33333333333333337</v>
      </c>
      <c r="C13" s="21">
        <v>0.70833333333333337</v>
      </c>
      <c r="E13" s="23">
        <v>44447</v>
      </c>
      <c r="F13" s="24" t="s">
        <v>87</v>
      </c>
      <c r="G13" s="24" t="s">
        <v>88</v>
      </c>
      <c r="H13" s="24" t="s">
        <v>89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AC88-84B4-4606-B26E-AA57C7AE45BE}">
  <dimension ref="A2:F7"/>
  <sheetViews>
    <sheetView zoomScale="205" zoomScaleNormal="205" workbookViewId="0">
      <selection activeCell="D10" sqref="D10"/>
    </sheetView>
  </sheetViews>
  <sheetFormatPr baseColWidth="10" defaultRowHeight="14.4" x14ac:dyDescent="0.3"/>
  <sheetData>
    <row r="2" spans="1:6" x14ac:dyDescent="0.3">
      <c r="B2" s="34" t="s">
        <v>123</v>
      </c>
      <c r="C2" s="34"/>
      <c r="D2" s="34"/>
      <c r="E2" s="34"/>
      <c r="F2" s="6">
        <v>4</v>
      </c>
    </row>
    <row r="4" spans="1:6" x14ac:dyDescent="0.3">
      <c r="C4" t="s">
        <v>126</v>
      </c>
      <c r="D4" t="s">
        <v>127</v>
      </c>
      <c r="E4" t="s">
        <v>128</v>
      </c>
    </row>
    <row r="5" spans="1:6" x14ac:dyDescent="0.3">
      <c r="B5" t="s">
        <v>124</v>
      </c>
      <c r="C5" t="s">
        <v>129</v>
      </c>
      <c r="D5" t="s">
        <v>130</v>
      </c>
      <c r="E5" t="s">
        <v>130</v>
      </c>
      <c r="F5">
        <v>2</v>
      </c>
    </row>
    <row r="6" spans="1:6" x14ac:dyDescent="0.3">
      <c r="B6" t="s">
        <v>125</v>
      </c>
      <c r="C6" t="s">
        <v>131</v>
      </c>
      <c r="D6" t="s">
        <v>131</v>
      </c>
      <c r="E6" t="s">
        <v>129</v>
      </c>
      <c r="F6">
        <v>2</v>
      </c>
    </row>
    <row r="7" spans="1:6" x14ac:dyDescent="0.3">
      <c r="A7" s="6">
        <v>6</v>
      </c>
      <c r="C7">
        <v>2</v>
      </c>
      <c r="D7">
        <v>2</v>
      </c>
      <c r="E7">
        <v>2</v>
      </c>
      <c r="F7" s="7">
        <v>3</v>
      </c>
    </row>
  </sheetData>
  <mergeCells count="1">
    <mergeCell ref="B2:E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B0BD-A895-4B0F-9D4F-8261FAD1D392}">
  <dimension ref="B2:P45"/>
  <sheetViews>
    <sheetView tabSelected="1" zoomScale="115" zoomScaleNormal="115" workbookViewId="0">
      <selection activeCell="L4" sqref="L4"/>
    </sheetView>
  </sheetViews>
  <sheetFormatPr baseColWidth="10" defaultColWidth="11.5546875" defaultRowHeight="14.4" x14ac:dyDescent="0.3"/>
  <cols>
    <col min="2" max="2" width="3.77734375" customWidth="1"/>
    <col min="5" max="5" width="4.33203125" customWidth="1"/>
    <col min="8" max="8" width="3.77734375" customWidth="1"/>
    <col min="11" max="13" width="3.33203125" customWidth="1"/>
    <col min="17" max="17" width="15.44140625" customWidth="1"/>
  </cols>
  <sheetData>
    <row r="2" spans="2:16" x14ac:dyDescent="0.3">
      <c r="C2" s="5" t="s">
        <v>132</v>
      </c>
      <c r="D2" s="7" t="s">
        <v>133</v>
      </c>
      <c r="F2" s="35" t="s">
        <v>149</v>
      </c>
      <c r="G2" s="35"/>
      <c r="J2" s="26">
        <v>1000000</v>
      </c>
      <c r="N2" s="5" t="s">
        <v>145</v>
      </c>
      <c r="O2" s="7" t="s">
        <v>144</v>
      </c>
    </row>
    <row r="3" spans="2:16" x14ac:dyDescent="0.3">
      <c r="G3" s="35" t="s">
        <v>135</v>
      </c>
      <c r="H3" s="35"/>
    </row>
    <row r="5" spans="2:16" x14ac:dyDescent="0.3">
      <c r="C5" s="2">
        <v>703</v>
      </c>
      <c r="F5" s="2">
        <v>704</v>
      </c>
      <c r="I5" s="2">
        <v>705</v>
      </c>
      <c r="N5" s="2">
        <v>720</v>
      </c>
    </row>
    <row r="6" spans="2:16" x14ac:dyDescent="0.3">
      <c r="C6" s="27" t="s">
        <v>90</v>
      </c>
      <c r="D6" s="27"/>
      <c r="F6" s="27" t="s">
        <v>91</v>
      </c>
      <c r="G6" s="27"/>
      <c r="I6" s="27" t="s">
        <v>92</v>
      </c>
      <c r="J6" s="27"/>
      <c r="L6" s="28" t="s">
        <v>93</v>
      </c>
      <c r="N6" s="27" t="s">
        <v>94</v>
      </c>
      <c r="O6" s="27"/>
    </row>
    <row r="7" spans="2:16" x14ac:dyDescent="0.3">
      <c r="C7" s="27" t="s">
        <v>95</v>
      </c>
      <c r="D7" s="27"/>
      <c r="F7" s="27" t="s">
        <v>96</v>
      </c>
      <c r="G7" s="27"/>
      <c r="I7" s="27" t="s">
        <v>97</v>
      </c>
      <c r="J7" s="27"/>
      <c r="L7" s="28" t="s">
        <v>93</v>
      </c>
      <c r="N7" s="27" t="s">
        <v>98</v>
      </c>
      <c r="O7" s="27"/>
    </row>
    <row r="8" spans="2:16" x14ac:dyDescent="0.3">
      <c r="C8" s="27" t="s">
        <v>99</v>
      </c>
      <c r="D8" s="27"/>
      <c r="F8" s="27" t="s">
        <v>100</v>
      </c>
      <c r="G8" s="27"/>
      <c r="I8" s="27" t="s">
        <v>98</v>
      </c>
      <c r="J8" s="27"/>
      <c r="L8" s="28" t="s">
        <v>93</v>
      </c>
      <c r="N8" s="27" t="s">
        <v>101</v>
      </c>
      <c r="O8" s="27"/>
    </row>
    <row r="9" spans="2:16" x14ac:dyDescent="0.3">
      <c r="C9" s="27" t="s">
        <v>102</v>
      </c>
      <c r="D9" s="27"/>
      <c r="F9" s="27" t="s">
        <v>98</v>
      </c>
      <c r="G9" s="27"/>
      <c r="I9" s="27" t="s">
        <v>103</v>
      </c>
      <c r="J9" s="27"/>
      <c r="L9" s="28" t="s">
        <v>93</v>
      </c>
      <c r="N9" s="27" t="s">
        <v>90</v>
      </c>
      <c r="O9" s="27"/>
    </row>
    <row r="11" spans="2:16" x14ac:dyDescent="0.3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3" spans="2:16" x14ac:dyDescent="0.3">
      <c r="C13" s="5" t="s">
        <v>136</v>
      </c>
      <c r="D13" s="7" t="s">
        <v>133</v>
      </c>
      <c r="F13" s="35" t="s">
        <v>143</v>
      </c>
      <c r="G13" s="35"/>
      <c r="J13" s="26">
        <v>50000</v>
      </c>
      <c r="N13" s="36" t="s">
        <v>142</v>
      </c>
      <c r="O13" s="36"/>
    </row>
    <row r="14" spans="2:16" x14ac:dyDescent="0.3">
      <c r="G14" s="35" t="s">
        <v>134</v>
      </c>
      <c r="H14" s="35"/>
    </row>
    <row r="16" spans="2:16" x14ac:dyDescent="0.3">
      <c r="C16" s="5">
        <v>1010</v>
      </c>
      <c r="F16" s="5">
        <v>1011</v>
      </c>
      <c r="I16" s="5">
        <v>1012</v>
      </c>
      <c r="N16" s="5" t="s">
        <v>137</v>
      </c>
      <c r="O16" s="5" t="s">
        <v>138</v>
      </c>
    </row>
    <row r="17" spans="3:15" x14ac:dyDescent="0.3">
      <c r="C17" t="s">
        <v>104</v>
      </c>
      <c r="D17" t="s">
        <v>105</v>
      </c>
      <c r="F17" t="s">
        <v>104</v>
      </c>
      <c r="G17" t="s">
        <v>105</v>
      </c>
      <c r="I17" t="s">
        <v>104</v>
      </c>
      <c r="J17" t="s">
        <v>105</v>
      </c>
    </row>
    <row r="18" spans="3:15" x14ac:dyDescent="0.3">
      <c r="C18" t="s">
        <v>92</v>
      </c>
      <c r="D18" s="18" t="s">
        <v>106</v>
      </c>
      <c r="F18" t="s">
        <v>98</v>
      </c>
      <c r="G18" s="18" t="s">
        <v>107</v>
      </c>
      <c r="I18" t="s">
        <v>90</v>
      </c>
      <c r="J18" s="18" t="s">
        <v>108</v>
      </c>
      <c r="N18" s="35" t="s">
        <v>146</v>
      </c>
      <c r="O18" s="35"/>
    </row>
    <row r="19" spans="3:15" x14ac:dyDescent="0.3">
      <c r="C19" t="s">
        <v>95</v>
      </c>
      <c r="D19" s="18" t="s">
        <v>109</v>
      </c>
      <c r="F19" t="s">
        <v>98</v>
      </c>
      <c r="G19" s="18" t="s">
        <v>110</v>
      </c>
      <c r="I19" t="s">
        <v>90</v>
      </c>
      <c r="J19" s="30" t="s">
        <v>111</v>
      </c>
    </row>
    <row r="20" spans="3:15" x14ac:dyDescent="0.3">
      <c r="C20" t="s">
        <v>112</v>
      </c>
      <c r="D20" t="s">
        <v>93</v>
      </c>
      <c r="F20" t="s">
        <v>98</v>
      </c>
      <c r="G20" s="18" t="s">
        <v>113</v>
      </c>
      <c r="I20" t="s">
        <v>101</v>
      </c>
      <c r="J20" s="18" t="s">
        <v>93</v>
      </c>
      <c r="N20" s="35" t="s">
        <v>147</v>
      </c>
      <c r="O20" s="35"/>
    </row>
    <row r="21" spans="3:15" x14ac:dyDescent="0.3">
      <c r="C21" t="s">
        <v>93</v>
      </c>
      <c r="D21" t="s">
        <v>93</v>
      </c>
      <c r="F21" t="s">
        <v>103</v>
      </c>
      <c r="G21" t="s">
        <v>93</v>
      </c>
    </row>
    <row r="22" spans="3:15" x14ac:dyDescent="0.3">
      <c r="C22" t="s">
        <v>114</v>
      </c>
      <c r="D22" t="s">
        <v>114</v>
      </c>
      <c r="F22" t="s">
        <v>93</v>
      </c>
      <c r="N22" s="35" t="s">
        <v>148</v>
      </c>
      <c r="O22" s="35"/>
    </row>
    <row r="23" spans="3:15" x14ac:dyDescent="0.3">
      <c r="C23" t="s">
        <v>115</v>
      </c>
      <c r="D23" t="s">
        <v>115</v>
      </c>
    </row>
    <row r="26" spans="3:15" x14ac:dyDescent="0.3">
      <c r="C26" s="5" t="s">
        <v>136</v>
      </c>
      <c r="D26" s="7" t="s">
        <v>141</v>
      </c>
      <c r="J26" s="26">
        <v>2500</v>
      </c>
      <c r="N26" s="5" t="s">
        <v>137</v>
      </c>
      <c r="O26" s="5" t="s">
        <v>139</v>
      </c>
    </row>
    <row r="28" spans="3:15" x14ac:dyDescent="0.3">
      <c r="N28" s="35" t="s">
        <v>146</v>
      </c>
      <c r="O28" s="35"/>
    </row>
    <row r="29" spans="3:15" x14ac:dyDescent="0.3">
      <c r="C29" s="5">
        <v>2010</v>
      </c>
      <c r="F29" s="5">
        <v>2011</v>
      </c>
    </row>
    <row r="30" spans="3:15" x14ac:dyDescent="0.3">
      <c r="C30" t="s">
        <v>104</v>
      </c>
      <c r="D30" t="s">
        <v>105</v>
      </c>
      <c r="F30" t="s">
        <v>104</v>
      </c>
      <c r="G30" t="s">
        <v>105</v>
      </c>
    </row>
    <row r="31" spans="3:15" x14ac:dyDescent="0.3">
      <c r="C31" t="s">
        <v>92</v>
      </c>
      <c r="D31" s="18" t="s">
        <v>116</v>
      </c>
      <c r="F31" t="s">
        <v>117</v>
      </c>
      <c r="G31" s="18" t="s">
        <v>118</v>
      </c>
    </row>
    <row r="32" spans="3:15" x14ac:dyDescent="0.3">
      <c r="C32" t="s">
        <v>98</v>
      </c>
      <c r="D32" s="18" t="s">
        <v>119</v>
      </c>
      <c r="F32" t="s">
        <v>93</v>
      </c>
      <c r="G32" s="18" t="s">
        <v>93</v>
      </c>
    </row>
    <row r="33" spans="3:15" x14ac:dyDescent="0.3">
      <c r="C33" t="s">
        <v>90</v>
      </c>
      <c r="D33" s="18" t="s">
        <v>120</v>
      </c>
      <c r="G33" s="18"/>
    </row>
    <row r="34" spans="3:15" x14ac:dyDescent="0.3">
      <c r="C34" t="s">
        <v>93</v>
      </c>
      <c r="D34" t="s">
        <v>93</v>
      </c>
    </row>
    <row r="35" spans="3:15" x14ac:dyDescent="0.3">
      <c r="C35" t="s">
        <v>114</v>
      </c>
      <c r="D35" t="s">
        <v>114</v>
      </c>
    </row>
    <row r="36" spans="3:15" x14ac:dyDescent="0.3">
      <c r="C36" t="s">
        <v>115</v>
      </c>
      <c r="D36" t="s">
        <v>115</v>
      </c>
    </row>
    <row r="39" spans="3:15" x14ac:dyDescent="0.3">
      <c r="C39" s="5" t="s">
        <v>136</v>
      </c>
      <c r="D39" s="7" t="s">
        <v>140</v>
      </c>
      <c r="J39" s="26">
        <v>125</v>
      </c>
      <c r="N39" s="5" t="s">
        <v>136</v>
      </c>
      <c r="O39" s="7" t="s">
        <v>140</v>
      </c>
    </row>
    <row r="41" spans="3:15" x14ac:dyDescent="0.3">
      <c r="N41" s="35" t="s">
        <v>146</v>
      </c>
      <c r="O41" s="35"/>
    </row>
    <row r="42" spans="3:15" x14ac:dyDescent="0.3">
      <c r="C42" t="s">
        <v>104</v>
      </c>
      <c r="D42" t="s">
        <v>105</v>
      </c>
    </row>
    <row r="43" spans="3:15" x14ac:dyDescent="0.3">
      <c r="C43" t="s">
        <v>92</v>
      </c>
      <c r="D43" s="18" t="s">
        <v>121</v>
      </c>
    </row>
    <row r="44" spans="3:15" x14ac:dyDescent="0.3">
      <c r="C44" t="s">
        <v>117</v>
      </c>
      <c r="D44" s="18" t="s">
        <v>122</v>
      </c>
    </row>
    <row r="45" spans="3:15" x14ac:dyDescent="0.3">
      <c r="C45" t="s">
        <v>93</v>
      </c>
      <c r="D45" s="18" t="s">
        <v>93</v>
      </c>
    </row>
  </sheetData>
  <mergeCells count="10">
    <mergeCell ref="N20:O20"/>
    <mergeCell ref="N22:O22"/>
    <mergeCell ref="N28:O28"/>
    <mergeCell ref="N41:O41"/>
    <mergeCell ref="F2:G2"/>
    <mergeCell ref="G3:H3"/>
    <mergeCell ref="F13:G13"/>
    <mergeCell ref="N13:O13"/>
    <mergeCell ref="G14:H14"/>
    <mergeCell ref="N18:O18"/>
  </mergeCells>
  <pageMargins left="0.7" right="0.7" top="0.78740157499999996" bottom="0.78740157499999996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SELECT</vt:lpstr>
      <vt:lpstr>STORAGE</vt:lpstr>
      <vt:lpstr>TIME</vt:lpstr>
      <vt:lpstr>Hotel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Krause</dc:creator>
  <cp:lastModifiedBy>Andreas Krause</cp:lastModifiedBy>
  <dcterms:created xsi:type="dcterms:W3CDTF">2021-09-09T06:33:10Z</dcterms:created>
  <dcterms:modified xsi:type="dcterms:W3CDTF">2021-09-10T15:15:10Z</dcterms:modified>
</cp:coreProperties>
</file>