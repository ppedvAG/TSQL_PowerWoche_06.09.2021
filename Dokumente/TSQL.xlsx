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1\Downloads\TSQL_Power\"/>
    </mc:Choice>
  </mc:AlternateContent>
  <xr:revisionPtr revIDLastSave="0" documentId="13_ncr:1_{DBBFF996-8D41-45D2-99A7-ACAC3C387110}" xr6:coauthVersionLast="47" xr6:coauthVersionMax="47" xr10:uidLastSave="{00000000-0000-0000-0000-000000000000}"/>
  <bookViews>
    <workbookView xWindow="-108" yWindow="-108" windowWidth="23256" windowHeight="12576" activeTab="5" xr2:uid="{FD71E758-41B4-4CEB-9631-9C5E8496DB4A}"/>
  </bookViews>
  <sheets>
    <sheet name="Normalform" sheetId="1" r:id="rId1"/>
    <sheet name="WITH CHECK" sheetId="2" r:id="rId2"/>
    <sheet name="SELECT" sheetId="3" r:id="rId3"/>
    <sheet name="WITH TIES" sheetId="4" r:id="rId4"/>
    <sheet name="TOP" sheetId="5" r:id="rId5"/>
    <sheet name="JOIN" sheetId="6" r:id="rId6"/>
    <sheet name="TIME" sheetId="7" r:id="rId7"/>
    <sheet name="GROUPING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7" l="1"/>
  <c r="B6" i="7"/>
  <c r="B5" i="7"/>
</calcChain>
</file>

<file path=xl/sharedStrings.xml><?xml version="1.0" encoding="utf-8"?>
<sst xmlns="http://schemas.openxmlformats.org/spreadsheetml/2006/main" count="391" uniqueCount="176">
  <si>
    <t>RELATION</t>
  </si>
  <si>
    <t xml:space="preserve">"alle Infos zu…" </t>
  </si>
  <si>
    <t>Normalform 0</t>
  </si>
  <si>
    <t>CD.ID</t>
  </si>
  <si>
    <t>CD-Titel</t>
  </si>
  <si>
    <t>Interpret</t>
  </si>
  <si>
    <t>Lieder</t>
  </si>
  <si>
    <t>Dark Side of the Moon</t>
  </si>
  <si>
    <t>Pink Floyd</t>
  </si>
  <si>
    <t>1 … , 2 … , 3 … , …</t>
  </si>
  <si>
    <t>1 …</t>
  </si>
  <si>
    <t>Spalte1</t>
  </si>
  <si>
    <t>Normalform 1</t>
  </si>
  <si>
    <t>Track 1</t>
  </si>
  <si>
    <t>Track 2</t>
  </si>
  <si>
    <t>Track 3</t>
  </si>
  <si>
    <t>Track 4</t>
  </si>
  <si>
    <t>Track 5</t>
  </si>
  <si>
    <t>Track 6</t>
  </si>
  <si>
    <t>Track 7</t>
  </si>
  <si>
    <t>A</t>
  </si>
  <si>
    <t>B</t>
  </si>
  <si>
    <t>C</t>
  </si>
  <si>
    <t>D</t>
  </si>
  <si>
    <t>NULL</t>
  </si>
  <si>
    <t>nichts zusammgesetztes</t>
  </si>
  <si>
    <t>Original + N1</t>
  </si>
  <si>
    <t>Normalform 2</t>
  </si>
  <si>
    <t>Teile in Tabellen auslagern</t>
  </si>
  <si>
    <t>Track-TABLE</t>
  </si>
  <si>
    <t>Tracks</t>
  </si>
  <si>
    <t>TrackNo</t>
  </si>
  <si>
    <t>FOREIGN</t>
  </si>
  <si>
    <t>CD-TABLE</t>
  </si>
  <si>
    <t>Normalform 3 VERLETZT</t>
  </si>
  <si>
    <t>Normalform 3</t>
  </si>
  <si>
    <t>Vermeidung von Redundanz</t>
  </si>
  <si>
    <t>um JEDEN Preis, wie geil!</t>
  </si>
  <si>
    <t>Int.ID</t>
  </si>
  <si>
    <t>Interpret.Name</t>
  </si>
  <si>
    <t>Um jeden Preis!!</t>
  </si>
  <si>
    <t>Beziehungen entstehen hier.</t>
  </si>
  <si>
    <t>PRIMARY</t>
  </si>
  <si>
    <t>FROM</t>
  </si>
  <si>
    <t>SQL SVR</t>
  </si>
  <si>
    <t>RAW DATA</t>
  </si>
  <si>
    <t>JOIN SET</t>
  </si>
  <si>
    <t>INNER JOIN</t>
  </si>
  <si>
    <t>SELECT</t>
  </si>
  <si>
    <t>CD.ID2</t>
  </si>
  <si>
    <t>1:1 RAM</t>
  </si>
  <si>
    <t>DATA SET</t>
  </si>
  <si>
    <t>DEIN PC</t>
  </si>
  <si>
    <t>RESULT SET</t>
  </si>
  <si>
    <t>Normalform 3 GEGENBSP</t>
  </si>
  <si>
    <t>1 MIO Kunden</t>
  </si>
  <si>
    <t>1 MIO</t>
  </si>
  <si>
    <t>1 Kunde = 2x Bestellen</t>
  </si>
  <si>
    <t>2 MIO</t>
  </si>
  <si>
    <t>1 Best. = 2x Positionen</t>
  </si>
  <si>
    <t xml:space="preserve">4 MIO </t>
  </si>
  <si>
    <t>4 + 2 + 1 = 7 MIO DatenSätze</t>
  </si>
  <si>
    <t>Positonen : SUMME</t>
  </si>
  <si>
    <t>€€</t>
  </si>
  <si>
    <t>1 + 2 | €€ = 3 MIO DatenSätze</t>
  </si>
  <si>
    <t>CALCULATED COLUMNS</t>
  </si>
  <si>
    <t>SpX</t>
  </si>
  <si>
    <t>CONSTRAINT</t>
  </si>
  <si>
    <t>SpX &gt; 20</t>
  </si>
  <si>
    <t>ab Datum Z</t>
  </si>
  <si>
    <t>DEFAULT</t>
  </si>
  <si>
    <t>CHECK</t>
  </si>
  <si>
    <t>WITH CHECK</t>
  </si>
  <si>
    <t>Sitzung &gt; Anmeldung &gt; DB</t>
  </si>
  <si>
    <t>BearbeitungsKanal</t>
  </si>
  <si>
    <t>T-SQL Statement</t>
  </si>
  <si>
    <t>SCHREIBT</t>
  </si>
  <si>
    <t>AUSGEFÜHRT</t>
  </si>
  <si>
    <t>WHERE</t>
  </si>
  <si>
    <t>GROUP BY</t>
  </si>
  <si>
    <t>HAVING</t>
  </si>
  <si>
    <t>ORDER BY</t>
  </si>
  <si>
    <t>LIMITER</t>
  </si>
  <si>
    <t>USE</t>
  </si>
  <si>
    <t>Database</t>
  </si>
  <si>
    <t>INSERT</t>
  </si>
  <si>
    <t>UPDATE</t>
  </si>
  <si>
    <t>DELETE</t>
  </si>
  <si>
    <t>TRUNCATE</t>
  </si>
  <si>
    <t>CREATE</t>
  </si>
  <si>
    <t>ALTER</t>
  </si>
  <si>
    <t>DROP</t>
  </si>
  <si>
    <t>Aggregationen</t>
  </si>
  <si>
    <t xml:space="preserve">SUM, MIN, MAX, … </t>
  </si>
  <si>
    <t>Mini-SELECT</t>
  </si>
  <si>
    <t>TOP 3</t>
  </si>
  <si>
    <t>DISTINCT</t>
  </si>
  <si>
    <t>tempDB</t>
  </si>
  <si>
    <t>Statistics</t>
  </si>
  <si>
    <t>WITH TIES</t>
  </si>
  <si>
    <t>ASC</t>
  </si>
  <si>
    <t>TOP 24</t>
  </si>
  <si>
    <t>DESC</t>
  </si>
  <si>
    <t>TOP 12</t>
  </si>
  <si>
    <t>QUERY</t>
  </si>
  <si>
    <t>SQ1</t>
  </si>
  <si>
    <t>SQ2</t>
  </si>
  <si>
    <t>GELB</t>
  </si>
  <si>
    <t>ROT</t>
  </si>
  <si>
    <t>BLAU</t>
  </si>
  <si>
    <t>THEORIE</t>
  </si>
  <si>
    <t>PRAXIS</t>
  </si>
  <si>
    <t>Guter Stil</t>
  </si>
  <si>
    <t>RIGHT</t>
  </si>
  <si>
    <t>JOIN</t>
  </si>
  <si>
    <t>LEFT</t>
  </si>
  <si>
    <t>RIGHT JOIN</t>
  </si>
  <si>
    <t>LEFT JOIN</t>
  </si>
  <si>
    <t>(INNER)</t>
  </si>
  <si>
    <t>(FULL)</t>
  </si>
  <si>
    <t>(OUTER)</t>
  </si>
  <si>
    <t>A.ID</t>
  </si>
  <si>
    <t>B.ID</t>
  </si>
  <si>
    <t>WHERE B.ID IS NULL</t>
  </si>
  <si>
    <t>OUTER JOIN</t>
  </si>
  <si>
    <t>JOIN + WHERE B.Key IS NULL</t>
  </si>
  <si>
    <t>FULL LEFT</t>
  </si>
  <si>
    <t>LEFT (OUTER)</t>
  </si>
  <si>
    <t>TABLE</t>
  </si>
  <si>
    <t>FUNCTION</t>
  </si>
  <si>
    <t>LEFT OUTER JOIN</t>
  </si>
  <si>
    <t>LEFT JOIN + WHERE B.Key IS NULL</t>
  </si>
  <si>
    <t xml:space="preserve">CROSS APPLY mit WHERE </t>
  </si>
  <si>
    <t>SELECT *</t>
  </si>
  <si>
    <t>FROM Tab T</t>
  </si>
  <si>
    <t>CROSS APPLY Producure P</t>
  </si>
  <si>
    <t>WHERE T.ID = P.ID</t>
  </si>
  <si>
    <t>CROSS APPLY ohne WHERE</t>
  </si>
  <si>
    <t>Volles karthes. Produkt</t>
  </si>
  <si>
    <t>OUTER APPLY</t>
  </si>
  <si>
    <t>INTERSECT</t>
  </si>
  <si>
    <t>EXCEPT</t>
  </si>
  <si>
    <t>LEFT + WHERE B.Key IS NULL</t>
  </si>
  <si>
    <t>WHERE NOT IN</t>
  </si>
  <si>
    <t>WHERE IN</t>
  </si>
  <si>
    <t>INTERNAL</t>
  </si>
  <si>
    <t>SQL SVR 2012</t>
  </si>
  <si>
    <t>SQL SVR 2012 R2</t>
  </si>
  <si>
    <t>01.01.1900</t>
  </si>
  <si>
    <t>01.01.1970</t>
  </si>
  <si>
    <t>xls</t>
  </si>
  <si>
    <t>xlsx</t>
  </si>
  <si>
    <t>dd.mm.yy</t>
  </si>
  <si>
    <t>EXCEL</t>
  </si>
  <si>
    <t>00.01.1900</t>
  </si>
  <si>
    <t>ISO DATUM</t>
  </si>
  <si>
    <t>2021-09-08T12:05:42.1234567 UTC SQL SVR</t>
  </si>
  <si>
    <t>ISO SHORT</t>
  </si>
  <si>
    <t>20210908 = 2021-09-08T00:00:00.0000000+02:00</t>
  </si>
  <si>
    <t>{date} date</t>
  </si>
  <si>
    <t>{int} hour</t>
  </si>
  <si>
    <t>min</t>
  </si>
  <si>
    <t>sec</t>
  </si>
  <si>
    <t>UTC</t>
  </si>
  <si>
    <t>Land</t>
  </si>
  <si>
    <t>Kunde</t>
  </si>
  <si>
    <t>ID</t>
  </si>
  <si>
    <t>GROUPING_ID</t>
  </si>
  <si>
    <t>GROUPING</t>
  </si>
  <si>
    <t>Stadt</t>
  </si>
  <si>
    <t>YEAR</t>
  </si>
  <si>
    <t>MONTH</t>
  </si>
  <si>
    <t>DAY</t>
  </si>
  <si>
    <t>2021</t>
  </si>
  <si>
    <t>09</t>
  </si>
  <si>
    <t>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</si>
</sst>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A5A5A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8"/>
      </patternFill>
    </fill>
  </fills>
  <borders count="10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1" fillId="9" borderId="0" applyNumberFormat="0" applyBorder="0" applyAlignment="0" applyProtection="0"/>
    <xf numFmtId="0" fontId="6" fillId="10" borderId="0" applyNumberFormat="0" applyBorder="0" applyAlignment="0" applyProtection="0"/>
    <xf numFmtId="0" fontId="5" fillId="14" borderId="8" applyNumberFormat="0" applyAlignment="0" applyProtection="0"/>
    <xf numFmtId="0" fontId="1" fillId="15" borderId="0" applyNumberFormat="0" applyBorder="0" applyAlignment="0" applyProtection="0"/>
    <xf numFmtId="0" fontId="6" fillId="17" borderId="0" applyNumberFormat="0" applyBorder="0" applyAlignment="0" applyProtection="0"/>
  </cellStyleXfs>
  <cellXfs count="57">
    <xf numFmtId="0" fontId="0" fillId="0" borderId="0" xfId="0"/>
    <xf numFmtId="0" fontId="6" fillId="6" borderId="0" xfId="5"/>
    <xf numFmtId="0" fontId="6" fillId="7" borderId="0" xfId="6"/>
    <xf numFmtId="0" fontId="0" fillId="11" borderId="0" xfId="0" applyFill="1"/>
    <xf numFmtId="0" fontId="3" fillId="3" borderId="0" xfId="2"/>
    <xf numFmtId="0" fontId="0" fillId="12" borderId="1" xfId="0" applyFont="1" applyFill="1" applyBorder="1"/>
    <xf numFmtId="0" fontId="5" fillId="13" borderId="2" xfId="0" applyFont="1" applyFill="1" applyBorder="1"/>
    <xf numFmtId="0" fontId="5" fillId="13" borderId="3" xfId="0" applyFont="1" applyFill="1" applyBorder="1"/>
    <xf numFmtId="0" fontId="5" fillId="13" borderId="1" xfId="0" applyFont="1" applyFill="1" applyBorder="1"/>
    <xf numFmtId="0" fontId="0" fillId="12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12" borderId="2" xfId="0" applyFont="1" applyFill="1" applyBorder="1"/>
    <xf numFmtId="0" fontId="4" fillId="4" borderId="0" xfId="3"/>
    <xf numFmtId="0" fontId="0" fillId="11" borderId="2" xfId="0" applyFont="1" applyFill="1" applyBorder="1"/>
    <xf numFmtId="0" fontId="2" fillId="2" borderId="3" xfId="1" applyBorder="1"/>
    <xf numFmtId="0" fontId="6" fillId="10" borderId="0" xfId="9"/>
    <xf numFmtId="0" fontId="6" fillId="10" borderId="2" xfId="9" applyFont="1" applyFill="1" applyBorder="1"/>
    <xf numFmtId="0" fontId="6" fillId="8" borderId="0" xfId="7"/>
    <xf numFmtId="0" fontId="6" fillId="5" borderId="0" xfId="4"/>
    <xf numFmtId="0" fontId="0" fillId="11" borderId="3" xfId="0" applyFont="1" applyFill="1" applyBorder="1"/>
    <xf numFmtId="0" fontId="5" fillId="13" borderId="4" xfId="0" applyFont="1" applyFill="1" applyBorder="1"/>
    <xf numFmtId="0" fontId="5" fillId="13" borderId="5" xfId="0" applyFont="1" applyFill="1" applyBorder="1"/>
    <xf numFmtId="0" fontId="0" fillId="11" borderId="6" xfId="0" applyFont="1" applyFill="1" applyBorder="1"/>
    <xf numFmtId="0" fontId="0" fillId="12" borderId="6" xfId="0" applyFont="1" applyFill="1" applyBorder="1"/>
    <xf numFmtId="0" fontId="2" fillId="2" borderId="6" xfId="1" applyBorder="1"/>
    <xf numFmtId="0" fontId="0" fillId="11" borderId="7" xfId="0" applyFont="1" applyFill="1" applyBorder="1"/>
    <xf numFmtId="0" fontId="6" fillId="10" borderId="7" xfId="9" applyFont="1" applyFill="1" applyBorder="1"/>
    <xf numFmtId="0" fontId="2" fillId="2" borderId="3" xfId="1" applyFont="1" applyFill="1" applyBorder="1"/>
    <xf numFmtId="0" fontId="0" fillId="0" borderId="0" xfId="0" quotePrefix="1"/>
    <xf numFmtId="0" fontId="6" fillId="6" borderId="0" xfId="5" applyAlignment="1">
      <alignment horizontal="right"/>
    </xf>
    <xf numFmtId="0" fontId="6" fillId="6" borderId="0" xfId="5" quotePrefix="1"/>
    <xf numFmtId="0" fontId="1" fillId="9" borderId="0" xfId="8"/>
    <xf numFmtId="0" fontId="5" fillId="14" borderId="8" xfId="10"/>
    <xf numFmtId="0" fontId="6" fillId="10" borderId="0" xfId="9" applyAlignment="1">
      <alignment horizontal="right"/>
    </xf>
    <xf numFmtId="0" fontId="6" fillId="8" borderId="0" xfId="7" applyAlignment="1">
      <alignment horizontal="right"/>
    </xf>
    <xf numFmtId="0" fontId="2" fillId="2" borderId="0" xfId="1"/>
    <xf numFmtId="0" fontId="6" fillId="16" borderId="0" xfId="0" applyFont="1" applyFill="1"/>
    <xf numFmtId="0" fontId="4" fillId="4" borderId="9" xfId="3" applyBorder="1"/>
    <xf numFmtId="0" fontId="1" fillId="4" borderId="9" xfId="3" applyFont="1" applyBorder="1"/>
    <xf numFmtId="0" fontId="1" fillId="3" borderId="9" xfId="2" applyFont="1" applyBorder="1"/>
    <xf numFmtId="0" fontId="1" fillId="15" borderId="9" xfId="11" applyBorder="1"/>
    <xf numFmtId="0" fontId="6" fillId="6" borderId="9" xfId="5" applyBorder="1"/>
    <xf numFmtId="0" fontId="3" fillId="3" borderId="9" xfId="2" applyBorder="1"/>
    <xf numFmtId="0" fontId="6" fillId="17" borderId="0" xfId="12"/>
    <xf numFmtId="22" fontId="0" fillId="0" borderId="0" xfId="0" applyNumberFormat="1"/>
    <xf numFmtId="2" fontId="0" fillId="0" borderId="0" xfId="0" applyNumberFormat="1"/>
    <xf numFmtId="164" fontId="3" fillId="3" borderId="0" xfId="2" applyNumberFormat="1"/>
    <xf numFmtId="14" fontId="0" fillId="0" borderId="0" xfId="0" applyNumberFormat="1"/>
    <xf numFmtId="46" fontId="0" fillId="0" borderId="0" xfId="0" applyNumberFormat="1"/>
    <xf numFmtId="20" fontId="0" fillId="0" borderId="0" xfId="0" applyNumberFormat="1"/>
    <xf numFmtId="0" fontId="4" fillId="4" borderId="0" xfId="3" applyAlignment="1">
      <alignment horizontal="left"/>
    </xf>
    <xf numFmtId="14" fontId="0" fillId="12" borderId="6" xfId="0" applyNumberFormat="1" applyFont="1" applyFill="1" applyBorder="1"/>
    <xf numFmtId="0" fontId="0" fillId="12" borderId="0" xfId="0" quotePrefix="1" applyNumberFormat="1" applyFont="1" applyFill="1" applyBorder="1"/>
    <xf numFmtId="0" fontId="6" fillId="6" borderId="0" xfId="5" applyAlignment="1">
      <alignment horizontal="center"/>
    </xf>
    <xf numFmtId="0" fontId="2" fillId="2" borderId="0" xfId="1" applyAlignment="1">
      <alignment horizontal="center"/>
    </xf>
    <xf numFmtId="0" fontId="3" fillId="3" borderId="0" xfId="2" applyAlignment="1">
      <alignment horizontal="center"/>
    </xf>
  </cellXfs>
  <cellStyles count="13">
    <cellStyle name="20 % - Akzent5" xfId="8" builtinId="46"/>
    <cellStyle name="60 % - Akzent5" xfId="11" builtinId="48"/>
    <cellStyle name="Akzent1" xfId="4" builtinId="29"/>
    <cellStyle name="Akzent2" xfId="5" builtinId="33"/>
    <cellStyle name="Akzent3" xfId="6" builtinId="37"/>
    <cellStyle name="Akzent4" xfId="7" builtinId="41"/>
    <cellStyle name="Akzent5" xfId="12" builtinId="45"/>
    <cellStyle name="Akzent6" xfId="9" builtinId="49"/>
    <cellStyle name="Gut" xfId="1" builtinId="26"/>
    <cellStyle name="Neutral" xfId="3" builtinId="28"/>
    <cellStyle name="Schlecht" xfId="2" builtinId="27"/>
    <cellStyle name="Standard" xfId="0" builtinId="0"/>
    <cellStyle name="Zelle überprüfen" xfId="10" builtinId="23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Invisible" pivot="0" table="0" count="0" xr9:uid="{BB7491E6-C7A4-400C-90B6-0574A7CAFCE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992F30-1158-459B-8451-24003BD0EC15}" name="Tabelle1" displayName="Tabelle1" ref="B4:E7" totalsRowShown="0">
  <autoFilter ref="B4:E7" xr:uid="{47992F30-1158-459B-8451-24003BD0EC15}"/>
  <tableColumns count="4">
    <tableColumn id="1" xr3:uid="{5B8A63CD-F1B8-43F8-A998-56397D266500}" name="Spalte1"/>
    <tableColumn id="2" xr3:uid="{B4ACFFC5-1F49-4A36-89BC-319C15242F17}" name="CD-Titel"/>
    <tableColumn id="3" xr3:uid="{7141AA6C-1D6A-42C7-A329-18ADAC5D61D0}" name="Interpret"/>
    <tableColumn id="4" xr3:uid="{85B16A83-F7A9-4479-9CF1-D8FEF5F280FB}" name="Lie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B7D911-F208-45D8-9515-936EC89DC143}" name="Tabelle13" displayName="Tabelle13" ref="B11:K14" totalsRowShown="0">
  <autoFilter ref="B11:K14" xr:uid="{DAB7D911-F208-45D8-9515-936EC89DC143}"/>
  <tableColumns count="10">
    <tableColumn id="1" xr3:uid="{652648EB-3116-4308-A92A-FBB016763569}" name="CD.ID"/>
    <tableColumn id="2" xr3:uid="{28BB61B7-D94B-488D-BD74-219939884E7E}" name="CD-Titel"/>
    <tableColumn id="3" xr3:uid="{CA5F98F6-0674-423B-8B09-96E1A8EBD5EA}" name="Interpret"/>
    <tableColumn id="4" xr3:uid="{7B629516-2219-42DF-83BB-8F8A9AD8A075}" name="Track 1"/>
    <tableColumn id="5" xr3:uid="{ABFCAAEE-40F9-4015-81F5-99FA2081B66D}" name="Track 2"/>
    <tableColumn id="6" xr3:uid="{F23C797E-867D-48D5-956B-4DD293BBCC1B}" name="Track 3"/>
    <tableColumn id="7" xr3:uid="{4BC573A7-2D46-4B7F-BF86-01E334E63F30}" name="Track 4"/>
    <tableColumn id="8" xr3:uid="{42B4D6CC-4C61-4A62-96A9-E91A459E1DC1}" name="Track 5"/>
    <tableColumn id="9" xr3:uid="{9FEF42BE-77AB-4A11-842E-EB6387FC6C95}" name="Track 6"/>
    <tableColumn id="10" xr3:uid="{6DA968EB-53E1-4633-AB48-3B3A589957C3}" name="Track 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58B3C5-C1E0-471C-877D-1C5B5FDCDA1A}" name="Tabelle3" displayName="Tabelle3" ref="B32:C35" totalsRowShown="0">
  <autoFilter ref="B32:C35" xr:uid="{BA58B3C5-C1E0-471C-877D-1C5B5FDCDA1A}"/>
  <tableColumns count="2">
    <tableColumn id="1" xr3:uid="{F561C888-8AEF-4956-B8D7-E67A844735ED}" name="Int.ID"/>
    <tableColumn id="2" xr3:uid="{48273D68-FF36-4F88-9592-89BFCF7E9CAB}" name="Interpret.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42DEF5-2FF8-4930-9CB4-9259362DDE0A}" name="Tabelle35" displayName="Tabelle35" ref="Q20:R23" totalsRowShown="0">
  <autoFilter ref="Q20:R23" xr:uid="{6442DEF5-2FF8-4930-9CB4-9259362DDE0A}"/>
  <tableColumns count="2">
    <tableColumn id="1" xr3:uid="{6D7F45DE-9201-4F3C-8886-84FC504CC0CC}" name="Int.ID"/>
    <tableColumn id="2" xr3:uid="{38B26F65-6739-4A90-8B87-43622A0DDFA6}" name="Interpret.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3D3365-2A73-4C81-8A2B-473E3F2CBCDC}" name="Tabelle5" displayName="Tabelle5" ref="I28:P31" totalsRowShown="0" headerRowDxfId="19" headerRowBorderDxfId="18" tableBorderDxfId="17" totalsRowBorderDxfId="16">
  <autoFilter ref="I28:P31" xr:uid="{E23D3365-2A73-4C81-8A2B-473E3F2CBCDC}"/>
  <tableColumns count="8">
    <tableColumn id="1" xr3:uid="{B5A79373-9B9C-4BC3-9AC0-873F2696181E}" name="CD.ID" dataDxfId="15"/>
    <tableColumn id="2" xr3:uid="{DA0E5E92-DEBF-4EEA-A218-3F530AF681C2}" name="Tracks"/>
    <tableColumn id="3" xr3:uid="{CEE6611D-C2FD-443F-8A3F-0248D97A0A09}" name="TrackNo" dataDxfId="14" dataCellStyle="Gut"/>
    <tableColumn id="4" xr3:uid="{C3886B61-C7DB-436A-8683-25BE64932992}" name="CD.ID2" dataDxfId="13"/>
    <tableColumn id="5" xr3:uid="{1E0557FE-D22D-4AC2-8554-26F2E387CDEA}" name="CD-Titel" dataDxfId="12"/>
    <tableColumn id="6" xr3:uid="{C25C02D9-EA4F-4260-B405-5FB55A32760C}" name="Interpret" dataDxfId="11" dataCellStyle="Akzent6"/>
    <tableColumn id="7" xr3:uid="{3DD6B306-E94A-4F05-96BF-F3D100AA17B8}" name="Int.ID" dataDxfId="10" dataCellStyle="Akzent6"/>
    <tableColumn id="8" xr3:uid="{5823E7E2-D122-4196-ABB1-AEE43EEBE2D4}" name="Interpret.Name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CF30E2-8FC3-44C2-B073-CF0593E43657}" name="Tabelle6" displayName="Tabelle6" ref="D3:H4" totalsRowShown="0">
  <autoFilter ref="D3:H4" xr:uid="{7ECF30E2-8FC3-44C2-B073-CF0593E43657}"/>
  <tableColumns count="5">
    <tableColumn id="1" xr3:uid="{3C989BA7-1378-4A9D-9641-99CF571EA234}" name="{date} date"/>
    <tableColumn id="2" xr3:uid="{3D8B0366-21C2-4C71-AA5A-A0E1DF0D6398}" name="{int} hour"/>
    <tableColumn id="3" xr3:uid="{8FA40717-03BB-477C-B43E-D39DF1C4D431}" name="min"/>
    <tableColumn id="4" xr3:uid="{D14D4359-61EF-4FF0-B47B-39B90D08E492}" name="sec"/>
    <tableColumn id="5" xr3:uid="{A37F3C15-B7E5-485D-B473-A6258FD73205}" name="UTC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72BF17F-F322-435E-8611-00D25D86734A}" name="Tabelle8" displayName="Tabelle8" ref="E12:H13" totalsRowShown="0" headerRowDxfId="8" dataDxfId="6" headerRowBorderDxfId="7" tableBorderDxfId="5" totalsRowBorderDxfId="4">
  <autoFilter ref="E12:H13" xr:uid="{672BF17F-F322-435E-8611-00D25D86734A}"/>
  <tableColumns count="4">
    <tableColumn id="1" xr3:uid="{22EB9313-3A77-4E7D-A7F4-538F38F438FA}" name="{date} date" dataDxfId="3"/>
    <tableColumn id="2" xr3:uid="{7C48DEA4-8BE1-42C1-97AD-272F9F6954D4}" name="YEAR" dataDxfId="2"/>
    <tableColumn id="3" xr3:uid="{94398493-75A5-47E3-AA95-7B9FB83C2EED}" name="MONTH" dataDxfId="1"/>
    <tableColumn id="4" xr3:uid="{30B6D5B3-0C3F-4E1A-9209-D1375E8A73DE}" name="DAY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8B229B-1453-4F02-9787-8E3CF8A660D8}" name="Tabelle7" displayName="Tabelle7" ref="B4:E8" totalsRowShown="0">
  <autoFilter ref="B4:E8" xr:uid="{108B229B-1453-4F02-9787-8E3CF8A660D8}"/>
  <tableColumns count="4">
    <tableColumn id="1" xr3:uid="{9E1A3EE4-1A99-4BDA-BB65-B495B9E71E21}" name="ID"/>
    <tableColumn id="2" xr3:uid="{28D71167-496F-4B53-9C5D-DF3FDDA3815F}" name="Land"/>
    <tableColumn id="3" xr3:uid="{BB54D4E9-DCCB-4ADB-A15D-A4202ABE4FE0}" name="Stadt"/>
    <tableColumn id="4" xr3:uid="{E96562E0-6E46-4BD5-985B-E2F947E91E38}" name="Kun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60CC4-62BD-4981-B882-5E86D8F8E429}">
  <dimension ref="A2:R47"/>
  <sheetViews>
    <sheetView topLeftCell="A21" zoomScale="115" zoomScaleNormal="115" workbookViewId="0">
      <selection activeCell="P40" sqref="P40"/>
    </sheetView>
  </sheetViews>
  <sheetFormatPr baseColWidth="10" defaultRowHeight="14.4" x14ac:dyDescent="0.3"/>
  <cols>
    <col min="3" max="3" width="20.44140625" customWidth="1"/>
    <col min="5" max="5" width="26.109375" bestFit="1" customWidth="1"/>
    <col min="16" max="16" width="15.6640625" customWidth="1"/>
  </cols>
  <sheetData>
    <row r="2" spans="2:11" x14ac:dyDescent="0.3">
      <c r="B2" s="1" t="s">
        <v>0</v>
      </c>
      <c r="C2" t="s">
        <v>1</v>
      </c>
      <c r="E2" s="2" t="s">
        <v>2</v>
      </c>
    </row>
    <row r="4" spans="2:11" x14ac:dyDescent="0.3">
      <c r="B4" t="s">
        <v>11</v>
      </c>
      <c r="C4" t="s">
        <v>4</v>
      </c>
      <c r="D4" t="s">
        <v>5</v>
      </c>
      <c r="E4" t="s">
        <v>6</v>
      </c>
    </row>
    <row r="5" spans="2:11" x14ac:dyDescent="0.3">
      <c r="B5" s="3"/>
      <c r="C5" t="s">
        <v>7</v>
      </c>
      <c r="D5" t="s">
        <v>8</v>
      </c>
      <c r="E5" s="4" t="s">
        <v>9</v>
      </c>
    </row>
    <row r="6" spans="2:11" x14ac:dyDescent="0.3">
      <c r="C6" t="s">
        <v>7</v>
      </c>
      <c r="D6" t="s">
        <v>8</v>
      </c>
      <c r="E6" t="s">
        <v>10</v>
      </c>
    </row>
    <row r="9" spans="2:11" x14ac:dyDescent="0.3">
      <c r="B9" s="1" t="s">
        <v>26</v>
      </c>
      <c r="C9" t="s">
        <v>25</v>
      </c>
      <c r="E9" s="2" t="s">
        <v>12</v>
      </c>
    </row>
    <row r="11" spans="2:11" x14ac:dyDescent="0.3">
      <c r="B11" t="s">
        <v>3</v>
      </c>
      <c r="C11" t="s">
        <v>4</v>
      </c>
      <c r="D11" t="s">
        <v>5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 t="s">
        <v>18</v>
      </c>
      <c r="K11" t="s">
        <v>19</v>
      </c>
    </row>
    <row r="12" spans="2:11" x14ac:dyDescent="0.3">
      <c r="B12" s="3">
        <v>4711</v>
      </c>
      <c r="C12" t="s">
        <v>7</v>
      </c>
      <c r="D12" t="s">
        <v>8</v>
      </c>
      <c r="E12" s="13" t="s">
        <v>20</v>
      </c>
      <c r="F12" s="13" t="s">
        <v>21</v>
      </c>
      <c r="G12" s="13" t="s">
        <v>22</v>
      </c>
      <c r="H12" s="13" t="s">
        <v>23</v>
      </c>
      <c r="I12" s="4" t="s">
        <v>24</v>
      </c>
      <c r="J12" s="4" t="s">
        <v>24</v>
      </c>
      <c r="K12" s="4" t="s">
        <v>24</v>
      </c>
    </row>
    <row r="13" spans="2:11" x14ac:dyDescent="0.3">
      <c r="B13">
        <v>2579</v>
      </c>
      <c r="C13" t="s">
        <v>7</v>
      </c>
      <c r="D13" t="s">
        <v>8</v>
      </c>
      <c r="E13" t="s">
        <v>20</v>
      </c>
      <c r="F13" t="s">
        <v>21</v>
      </c>
      <c r="G13" t="s">
        <v>22</v>
      </c>
      <c r="H13" s="4" t="s">
        <v>24</v>
      </c>
      <c r="I13" s="4" t="s">
        <v>24</v>
      </c>
      <c r="J13" s="4" t="s">
        <v>24</v>
      </c>
      <c r="K13" s="4" t="s">
        <v>24</v>
      </c>
    </row>
    <row r="16" spans="2:11" x14ac:dyDescent="0.3">
      <c r="B16" s="1" t="s">
        <v>29</v>
      </c>
      <c r="C16" t="s">
        <v>28</v>
      </c>
      <c r="E16" s="2" t="s">
        <v>27</v>
      </c>
      <c r="G16" s="2"/>
    </row>
    <row r="17" spans="1:18" x14ac:dyDescent="0.3">
      <c r="G17" s="2"/>
    </row>
    <row r="18" spans="1:18" x14ac:dyDescent="0.3">
      <c r="B18" s="6" t="s">
        <v>3</v>
      </c>
      <c r="C18" s="7" t="s">
        <v>30</v>
      </c>
      <c r="D18" s="7" t="s">
        <v>31</v>
      </c>
      <c r="G18" s="2"/>
      <c r="I18" s="1" t="s">
        <v>45</v>
      </c>
      <c r="J18" s="16" t="s">
        <v>44</v>
      </c>
      <c r="K18" s="19" t="s">
        <v>43</v>
      </c>
    </row>
    <row r="19" spans="1:18" x14ac:dyDescent="0.3">
      <c r="A19" s="18" t="s">
        <v>32</v>
      </c>
      <c r="B19" s="14">
        <v>4711</v>
      </c>
      <c r="C19" s="9" t="s">
        <v>20</v>
      </c>
      <c r="D19" s="15">
        <v>1</v>
      </c>
      <c r="G19" s="2"/>
    </row>
    <row r="20" spans="1:18" x14ac:dyDescent="0.3">
      <c r="B20" s="14">
        <v>4711</v>
      </c>
      <c r="C20" s="11" t="s">
        <v>21</v>
      </c>
      <c r="D20" s="15">
        <v>2</v>
      </c>
      <c r="G20" s="2"/>
      <c r="I20" s="6" t="s">
        <v>3</v>
      </c>
      <c r="J20" s="7" t="s">
        <v>30</v>
      </c>
      <c r="K20" s="7" t="s">
        <v>31</v>
      </c>
      <c r="M20" s="6" t="s">
        <v>3</v>
      </c>
      <c r="N20" s="7" t="s">
        <v>4</v>
      </c>
      <c r="O20" s="7" t="s">
        <v>5</v>
      </c>
      <c r="Q20" t="s">
        <v>38</v>
      </c>
      <c r="R20" t="s">
        <v>39</v>
      </c>
    </row>
    <row r="21" spans="1:18" x14ac:dyDescent="0.3">
      <c r="B21" s="14">
        <v>4711</v>
      </c>
      <c r="C21" s="9" t="s">
        <v>22</v>
      </c>
      <c r="D21" s="15">
        <v>3</v>
      </c>
      <c r="G21" s="2"/>
      <c r="I21" s="14">
        <v>4711</v>
      </c>
      <c r="J21" s="9" t="s">
        <v>20</v>
      </c>
      <c r="K21" s="15">
        <v>1</v>
      </c>
      <c r="M21" s="14">
        <v>4711</v>
      </c>
      <c r="N21" s="9" t="s">
        <v>7</v>
      </c>
      <c r="O21" s="17">
        <v>42</v>
      </c>
      <c r="Q21" s="16">
        <v>42</v>
      </c>
      <c r="R21" s="9" t="s">
        <v>8</v>
      </c>
    </row>
    <row r="22" spans="1:18" x14ac:dyDescent="0.3">
      <c r="G22" s="2"/>
      <c r="I22" s="14">
        <v>4711</v>
      </c>
      <c r="J22" s="11" t="s">
        <v>21</v>
      </c>
      <c r="K22" s="15">
        <v>2</v>
      </c>
      <c r="M22" s="10">
        <v>2579</v>
      </c>
      <c r="N22" s="11" t="s">
        <v>7</v>
      </c>
      <c r="O22" s="17">
        <v>42</v>
      </c>
      <c r="Q22">
        <v>43</v>
      </c>
    </row>
    <row r="23" spans="1:18" x14ac:dyDescent="0.3">
      <c r="B23" s="1" t="s">
        <v>33</v>
      </c>
      <c r="C23" t="s">
        <v>41</v>
      </c>
      <c r="E23" s="2" t="s">
        <v>34</v>
      </c>
      <c r="G23" s="2"/>
      <c r="I23" s="14">
        <v>4711</v>
      </c>
      <c r="J23" s="9" t="s">
        <v>22</v>
      </c>
      <c r="K23" s="15">
        <v>3</v>
      </c>
      <c r="M23" s="12"/>
      <c r="N23" s="9"/>
      <c r="O23" s="9"/>
    </row>
    <row r="24" spans="1:18" x14ac:dyDescent="0.3">
      <c r="G24" s="2"/>
    </row>
    <row r="25" spans="1:18" x14ac:dyDescent="0.3">
      <c r="B25" s="6" t="s">
        <v>3</v>
      </c>
      <c r="C25" s="7" t="s">
        <v>4</v>
      </c>
      <c r="D25" s="7" t="s">
        <v>5</v>
      </c>
      <c r="G25" s="2"/>
    </row>
    <row r="26" spans="1:18" x14ac:dyDescent="0.3">
      <c r="A26" s="18" t="s">
        <v>42</v>
      </c>
      <c r="B26" s="14">
        <v>4711</v>
      </c>
      <c r="C26" s="9" t="s">
        <v>7</v>
      </c>
      <c r="D26" s="17">
        <v>42</v>
      </c>
      <c r="G26" s="2"/>
      <c r="I26" s="1" t="s">
        <v>46</v>
      </c>
      <c r="J26" s="16" t="s">
        <v>44</v>
      </c>
      <c r="K26" s="19" t="s">
        <v>47</v>
      </c>
    </row>
    <row r="27" spans="1:18" x14ac:dyDescent="0.3">
      <c r="A27" s="16" t="s">
        <v>32</v>
      </c>
      <c r="B27" s="10">
        <v>2579</v>
      </c>
      <c r="C27" s="11" t="s">
        <v>7</v>
      </c>
      <c r="D27" s="17">
        <v>42</v>
      </c>
      <c r="G27" s="2"/>
    </row>
    <row r="28" spans="1:18" x14ac:dyDescent="0.3">
      <c r="B28" s="12"/>
      <c r="C28" s="9"/>
      <c r="D28" s="9"/>
      <c r="G28" s="2"/>
      <c r="I28" s="21" t="s">
        <v>3</v>
      </c>
      <c r="J28" s="21" t="s">
        <v>30</v>
      </c>
      <c r="K28" s="21" t="s">
        <v>31</v>
      </c>
      <c r="L28" s="22" t="s">
        <v>49</v>
      </c>
      <c r="M28" s="21" t="s">
        <v>4</v>
      </c>
      <c r="N28" s="21" t="s">
        <v>5</v>
      </c>
      <c r="O28" s="22" t="s">
        <v>38</v>
      </c>
      <c r="P28" s="21" t="s">
        <v>39</v>
      </c>
    </row>
    <row r="29" spans="1:18" x14ac:dyDescent="0.3">
      <c r="G29" s="2"/>
      <c r="I29" s="20">
        <v>4711</v>
      </c>
      <c r="J29" s="9" t="s">
        <v>20</v>
      </c>
      <c r="K29" s="15">
        <v>1</v>
      </c>
      <c r="L29" s="14">
        <v>4711</v>
      </c>
      <c r="M29" s="9" t="s">
        <v>7</v>
      </c>
      <c r="N29" s="17">
        <v>42</v>
      </c>
      <c r="O29" s="17">
        <v>42</v>
      </c>
      <c r="P29" s="9" t="s">
        <v>8</v>
      </c>
    </row>
    <row r="30" spans="1:18" x14ac:dyDescent="0.3">
      <c r="B30" s="1" t="s">
        <v>5</v>
      </c>
      <c r="C30" t="s">
        <v>40</v>
      </c>
      <c r="E30" s="2" t="s">
        <v>35</v>
      </c>
      <c r="G30" s="2"/>
      <c r="I30" s="20">
        <v>4711</v>
      </c>
      <c r="J30" s="11" t="s">
        <v>21</v>
      </c>
      <c r="K30" s="15">
        <v>2</v>
      </c>
      <c r="L30" s="14">
        <v>4711</v>
      </c>
      <c r="M30" s="9" t="s">
        <v>7</v>
      </c>
      <c r="N30" s="17">
        <v>42</v>
      </c>
      <c r="O30" s="17">
        <v>42</v>
      </c>
      <c r="P30" s="9" t="s">
        <v>8</v>
      </c>
    </row>
    <row r="31" spans="1:18" x14ac:dyDescent="0.3">
      <c r="G31" s="2"/>
      <c r="I31" s="23">
        <v>4711</v>
      </c>
      <c r="J31" s="24" t="s">
        <v>22</v>
      </c>
      <c r="K31" s="25">
        <v>3</v>
      </c>
      <c r="L31" s="26">
        <v>4711</v>
      </c>
      <c r="M31" s="24" t="s">
        <v>7</v>
      </c>
      <c r="N31" s="27">
        <v>42</v>
      </c>
      <c r="O31" s="27">
        <v>42</v>
      </c>
      <c r="P31" s="24" t="s">
        <v>8</v>
      </c>
    </row>
    <row r="32" spans="1:18" x14ac:dyDescent="0.3">
      <c r="B32" t="s">
        <v>38</v>
      </c>
      <c r="C32" t="s">
        <v>39</v>
      </c>
      <c r="E32" s="4" t="s">
        <v>36</v>
      </c>
      <c r="G32" s="2"/>
    </row>
    <row r="33" spans="1:12" x14ac:dyDescent="0.3">
      <c r="A33" s="16" t="s">
        <v>42</v>
      </c>
      <c r="B33" s="16">
        <v>42</v>
      </c>
      <c r="C33" s="9" t="s">
        <v>8</v>
      </c>
      <c r="E33" s="4" t="s">
        <v>37</v>
      </c>
      <c r="G33" s="2"/>
      <c r="I33" s="1" t="s">
        <v>51</v>
      </c>
      <c r="J33" s="16" t="s">
        <v>44</v>
      </c>
      <c r="K33" s="19" t="s">
        <v>48</v>
      </c>
      <c r="L33" s="18" t="s">
        <v>50</v>
      </c>
    </row>
    <row r="34" spans="1:12" x14ac:dyDescent="0.3">
      <c r="B34">
        <v>43</v>
      </c>
      <c r="G34" s="2"/>
    </row>
    <row r="35" spans="1:12" x14ac:dyDescent="0.3">
      <c r="G35" s="2"/>
      <c r="I35" s="7" t="s">
        <v>30</v>
      </c>
      <c r="J35" s="7" t="s">
        <v>31</v>
      </c>
      <c r="K35" s="7" t="s">
        <v>4</v>
      </c>
      <c r="L35" s="8" t="s">
        <v>39</v>
      </c>
    </row>
    <row r="36" spans="1:12" x14ac:dyDescent="0.3">
      <c r="G36" s="2"/>
      <c r="I36" s="9" t="s">
        <v>20</v>
      </c>
      <c r="J36" s="28">
        <v>1</v>
      </c>
      <c r="K36" s="9" t="s">
        <v>7</v>
      </c>
      <c r="L36" s="5" t="s">
        <v>8</v>
      </c>
    </row>
    <row r="37" spans="1:12" x14ac:dyDescent="0.3">
      <c r="B37" s="54" t="s">
        <v>65</v>
      </c>
      <c r="C37" s="54"/>
      <c r="E37" s="1" t="s">
        <v>54</v>
      </c>
      <c r="G37" s="2"/>
      <c r="I37" s="11" t="s">
        <v>21</v>
      </c>
      <c r="J37" s="28">
        <v>2</v>
      </c>
      <c r="K37" s="9" t="s">
        <v>7</v>
      </c>
      <c r="L37" s="5" t="s">
        <v>8</v>
      </c>
    </row>
    <row r="38" spans="1:12" x14ac:dyDescent="0.3">
      <c r="G38" s="2"/>
      <c r="I38" s="9" t="s">
        <v>22</v>
      </c>
      <c r="J38" s="28">
        <v>3</v>
      </c>
      <c r="K38" s="9" t="s">
        <v>7</v>
      </c>
      <c r="L38" s="5" t="s">
        <v>8</v>
      </c>
    </row>
    <row r="39" spans="1:12" x14ac:dyDescent="0.3">
      <c r="C39" t="s">
        <v>55</v>
      </c>
      <c r="D39" t="s">
        <v>56</v>
      </c>
      <c r="G39" s="2"/>
    </row>
    <row r="40" spans="1:12" x14ac:dyDescent="0.3">
      <c r="C40" t="s">
        <v>57</v>
      </c>
      <c r="D40" t="s">
        <v>58</v>
      </c>
      <c r="G40" s="2"/>
      <c r="I40" s="1" t="s">
        <v>53</v>
      </c>
      <c r="J40" s="16" t="s">
        <v>52</v>
      </c>
      <c r="K40" s="19" t="s">
        <v>48</v>
      </c>
      <c r="L40" s="18" t="s">
        <v>50</v>
      </c>
    </row>
    <row r="41" spans="1:12" x14ac:dyDescent="0.3">
      <c r="C41" t="s">
        <v>59</v>
      </c>
      <c r="D41" t="s">
        <v>60</v>
      </c>
      <c r="E41" s="29" t="s">
        <v>61</v>
      </c>
      <c r="G41" s="2"/>
    </row>
    <row r="42" spans="1:12" x14ac:dyDescent="0.3">
      <c r="G42" s="2"/>
    </row>
    <row r="43" spans="1:12" x14ac:dyDescent="0.3">
      <c r="G43" s="2"/>
    </row>
    <row r="44" spans="1:12" x14ac:dyDescent="0.3">
      <c r="C44" t="s">
        <v>55</v>
      </c>
      <c r="D44" t="s">
        <v>56</v>
      </c>
      <c r="G44" s="2"/>
    </row>
    <row r="45" spans="1:12" x14ac:dyDescent="0.3">
      <c r="C45" t="s">
        <v>57</v>
      </c>
      <c r="D45" t="s">
        <v>58</v>
      </c>
      <c r="G45" s="2"/>
    </row>
    <row r="46" spans="1:12" x14ac:dyDescent="0.3">
      <c r="C46" t="s">
        <v>62</v>
      </c>
      <c r="D46" s="30" t="s">
        <v>63</v>
      </c>
      <c r="E46" s="31" t="s">
        <v>64</v>
      </c>
      <c r="G46" s="2"/>
    </row>
    <row r="47" spans="1:12" x14ac:dyDescent="0.3">
      <c r="G47" s="2"/>
    </row>
  </sheetData>
  <mergeCells count="1">
    <mergeCell ref="B37:C37"/>
  </mergeCells>
  <phoneticPr fontId="7" type="noConversion"/>
  <pageMargins left="0.7" right="0.7" top="0.78740157499999996" bottom="0.78740157499999996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B581-5458-45EC-91CE-BDBA7B7A1202}">
  <dimension ref="A2:I18"/>
  <sheetViews>
    <sheetView zoomScale="130" zoomScaleNormal="130" workbookViewId="0">
      <selection activeCell="F3" sqref="F3"/>
    </sheetView>
  </sheetViews>
  <sheetFormatPr baseColWidth="10" defaultRowHeight="14.4" x14ac:dyDescent="0.3"/>
  <sheetData>
    <row r="2" spans="1:9" x14ac:dyDescent="0.3">
      <c r="C2" s="19" t="s">
        <v>66</v>
      </c>
      <c r="H2" s="19" t="s">
        <v>66</v>
      </c>
    </row>
    <row r="3" spans="1:9" x14ac:dyDescent="0.3">
      <c r="C3" s="2">
        <v>23</v>
      </c>
      <c r="H3" s="2">
        <v>23</v>
      </c>
    </row>
    <row r="4" spans="1:9" x14ac:dyDescent="0.3">
      <c r="C4" s="2">
        <v>14</v>
      </c>
      <c r="H4" s="4">
        <v>14</v>
      </c>
    </row>
    <row r="5" spans="1:9" x14ac:dyDescent="0.3">
      <c r="C5" s="2">
        <v>15</v>
      </c>
      <c r="H5" s="4">
        <v>15</v>
      </c>
    </row>
    <row r="6" spans="1:9" x14ac:dyDescent="0.3">
      <c r="C6" s="2">
        <v>21</v>
      </c>
      <c r="H6" s="2">
        <v>21</v>
      </c>
    </row>
    <row r="7" spans="1:9" x14ac:dyDescent="0.3">
      <c r="B7" s="19" t="s">
        <v>67</v>
      </c>
      <c r="C7" s="2">
        <v>24</v>
      </c>
      <c r="G7" s="19" t="s">
        <v>67</v>
      </c>
      <c r="H7" s="2">
        <v>24</v>
      </c>
    </row>
    <row r="8" spans="1:9" x14ac:dyDescent="0.3">
      <c r="A8" s="1" t="s">
        <v>69</v>
      </c>
      <c r="B8" t="s">
        <v>68</v>
      </c>
      <c r="C8" s="16">
        <v>21</v>
      </c>
      <c r="D8" s="1" t="s">
        <v>70</v>
      </c>
      <c r="F8" s="1" t="s">
        <v>69</v>
      </c>
      <c r="G8" t="s">
        <v>68</v>
      </c>
      <c r="I8" s="1" t="s">
        <v>70</v>
      </c>
    </row>
    <row r="9" spans="1:9" x14ac:dyDescent="0.3">
      <c r="C9" s="16">
        <v>24</v>
      </c>
      <c r="D9" s="1" t="s">
        <v>71</v>
      </c>
      <c r="G9" s="19" t="s">
        <v>72</v>
      </c>
      <c r="I9" s="1" t="s">
        <v>71</v>
      </c>
    </row>
    <row r="10" spans="1:9" x14ac:dyDescent="0.3">
      <c r="C10" s="16">
        <v>26</v>
      </c>
    </row>
    <row r="13" spans="1:9" x14ac:dyDescent="0.3">
      <c r="H13" s="19" t="s">
        <v>66</v>
      </c>
    </row>
    <row r="14" spans="1:9" x14ac:dyDescent="0.3">
      <c r="H14" s="2">
        <v>23</v>
      </c>
    </row>
    <row r="15" spans="1:9" x14ac:dyDescent="0.3">
      <c r="H15" s="2">
        <v>21</v>
      </c>
    </row>
    <row r="16" spans="1:9" x14ac:dyDescent="0.3">
      <c r="G16" s="19" t="s">
        <v>67</v>
      </c>
      <c r="H16" s="2">
        <v>24</v>
      </c>
    </row>
    <row r="17" spans="6:9" x14ac:dyDescent="0.3">
      <c r="F17" s="1" t="s">
        <v>69</v>
      </c>
      <c r="G17" t="s">
        <v>68</v>
      </c>
      <c r="I17" s="1" t="s">
        <v>70</v>
      </c>
    </row>
    <row r="18" spans="6:9" x14ac:dyDescent="0.3">
      <c r="G18" s="19" t="s">
        <v>72</v>
      </c>
      <c r="I18" s="1" t="s">
        <v>71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AE06A-8256-408E-81D3-68A8FDAD22BE}">
  <dimension ref="B2:J19"/>
  <sheetViews>
    <sheetView zoomScale="145" zoomScaleNormal="145" workbookViewId="0">
      <selection activeCell="I13" sqref="I13"/>
    </sheetView>
  </sheetViews>
  <sheetFormatPr baseColWidth="10" defaultColWidth="8.88671875" defaultRowHeight="14.4" x14ac:dyDescent="0.3"/>
  <cols>
    <col min="2" max="2" width="10.33203125" customWidth="1"/>
    <col min="3" max="3" width="12.109375" bestFit="1" customWidth="1"/>
    <col min="4" max="4" width="10" customWidth="1"/>
    <col min="5" max="5" width="11.109375" bestFit="1" customWidth="1"/>
    <col min="6" max="6" width="10.21875" bestFit="1" customWidth="1"/>
    <col min="7" max="7" width="10" bestFit="1" customWidth="1"/>
    <col min="8" max="8" width="10.109375" customWidth="1"/>
  </cols>
  <sheetData>
    <row r="2" spans="2:10" x14ac:dyDescent="0.3">
      <c r="B2" t="s">
        <v>73</v>
      </c>
      <c r="I2" s="13" t="s">
        <v>89</v>
      </c>
    </row>
    <row r="3" spans="2:10" x14ac:dyDescent="0.3">
      <c r="B3" s="19" t="s">
        <v>83</v>
      </c>
      <c r="C3" t="s">
        <v>84</v>
      </c>
      <c r="I3" s="13" t="s">
        <v>90</v>
      </c>
    </row>
    <row r="4" spans="2:10" ht="15" thickBot="1" x14ac:dyDescent="0.35">
      <c r="B4" t="s">
        <v>74</v>
      </c>
      <c r="I4" s="13" t="s">
        <v>91</v>
      </c>
    </row>
    <row r="5" spans="2:10" ht="15.6" thickTop="1" thickBot="1" x14ac:dyDescent="0.35">
      <c r="B5" s="19" t="s">
        <v>48</v>
      </c>
      <c r="C5" s="32" t="s">
        <v>85</v>
      </c>
      <c r="D5" s="32" t="s">
        <v>86</v>
      </c>
      <c r="E5" s="32" t="s">
        <v>87</v>
      </c>
      <c r="G5" s="33" t="s">
        <v>88</v>
      </c>
    </row>
    <row r="6" spans="2:10" ht="15" thickTop="1" x14ac:dyDescent="0.3"/>
    <row r="8" spans="2:10" x14ac:dyDescent="0.3">
      <c r="B8" s="55" t="s">
        <v>75</v>
      </c>
      <c r="C8" s="55"/>
      <c r="E8" s="56" t="s">
        <v>92</v>
      </c>
      <c r="F8" s="56"/>
    </row>
    <row r="9" spans="2:10" x14ac:dyDescent="0.3">
      <c r="B9" s="19" t="s">
        <v>76</v>
      </c>
      <c r="C9" s="1" t="s">
        <v>77</v>
      </c>
      <c r="E9" s="56" t="s">
        <v>93</v>
      </c>
      <c r="F9" s="56"/>
    </row>
    <row r="11" spans="2:10" x14ac:dyDescent="0.3">
      <c r="B11" s="19" t="s">
        <v>48</v>
      </c>
      <c r="E11" s="4" t="s">
        <v>94</v>
      </c>
      <c r="F11" s="19" t="s">
        <v>48</v>
      </c>
    </row>
    <row r="12" spans="2:10" x14ac:dyDescent="0.3">
      <c r="B12" s="19" t="s">
        <v>43</v>
      </c>
      <c r="D12" s="19" t="s">
        <v>43</v>
      </c>
    </row>
    <row r="13" spans="2:10" x14ac:dyDescent="0.3">
      <c r="B13" s="19" t="s">
        <v>78</v>
      </c>
      <c r="D13" s="19" t="s">
        <v>78</v>
      </c>
    </row>
    <row r="14" spans="2:10" x14ac:dyDescent="0.3">
      <c r="B14" s="19" t="s">
        <v>79</v>
      </c>
      <c r="D14" s="4" t="s">
        <v>79</v>
      </c>
    </row>
    <row r="15" spans="2:10" x14ac:dyDescent="0.3">
      <c r="B15" s="19" t="s">
        <v>80</v>
      </c>
      <c r="E15" s="4" t="s">
        <v>80</v>
      </c>
    </row>
    <row r="16" spans="2:10" x14ac:dyDescent="0.3">
      <c r="B16" s="19" t="s">
        <v>81</v>
      </c>
      <c r="H16" s="16" t="s">
        <v>81</v>
      </c>
      <c r="J16" s="16" t="s">
        <v>95</v>
      </c>
    </row>
    <row r="17" spans="2:10" x14ac:dyDescent="0.3">
      <c r="B17" s="19" t="s">
        <v>82</v>
      </c>
      <c r="I17" s="16" t="s">
        <v>82</v>
      </c>
      <c r="J17" s="16" t="s">
        <v>96</v>
      </c>
    </row>
    <row r="18" spans="2:10" x14ac:dyDescent="0.3">
      <c r="C18" s="1" t="s">
        <v>45</v>
      </c>
      <c r="E18" s="54" t="s">
        <v>51</v>
      </c>
      <c r="F18" s="54"/>
      <c r="H18" s="54" t="s">
        <v>53</v>
      </c>
      <c r="I18" s="54"/>
    </row>
    <row r="19" spans="2:10" x14ac:dyDescent="0.3">
      <c r="C19" s="2" t="s">
        <v>44</v>
      </c>
      <c r="E19" s="2" t="s">
        <v>44</v>
      </c>
      <c r="F19" s="34" t="s">
        <v>50</v>
      </c>
      <c r="H19" s="16" t="s">
        <v>97</v>
      </c>
      <c r="I19" s="35" t="s">
        <v>98</v>
      </c>
    </row>
  </sheetData>
  <mergeCells count="5">
    <mergeCell ref="B8:C8"/>
    <mergeCell ref="E18:F18"/>
    <mergeCell ref="H18:I18"/>
    <mergeCell ref="E8:F8"/>
    <mergeCell ref="E9:F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DA8F-52CB-49D3-B21E-607CD3037A9E}">
  <dimension ref="B2:L13"/>
  <sheetViews>
    <sheetView zoomScale="130" zoomScaleNormal="130" workbookViewId="0">
      <selection activeCell="I16" sqref="I16"/>
    </sheetView>
  </sheetViews>
  <sheetFormatPr baseColWidth="10" defaultRowHeight="14.4" x14ac:dyDescent="0.3"/>
  <sheetData>
    <row r="2" spans="2:12" x14ac:dyDescent="0.3">
      <c r="B2" s="19" t="s">
        <v>81</v>
      </c>
      <c r="F2" s="19" t="s">
        <v>81</v>
      </c>
    </row>
    <row r="3" spans="2:12" x14ac:dyDescent="0.3">
      <c r="C3" s="2" t="s">
        <v>66</v>
      </c>
      <c r="G3" s="2" t="s">
        <v>66</v>
      </c>
      <c r="K3" s="2" t="s">
        <v>66</v>
      </c>
    </row>
    <row r="4" spans="2:12" x14ac:dyDescent="0.3">
      <c r="B4" s="19" t="s">
        <v>95</v>
      </c>
      <c r="C4" s="36">
        <v>5</v>
      </c>
      <c r="F4" s="19" t="s">
        <v>95</v>
      </c>
      <c r="G4" s="36">
        <v>5</v>
      </c>
      <c r="H4" s="19" t="s">
        <v>99</v>
      </c>
      <c r="J4" s="19" t="s">
        <v>95</v>
      </c>
      <c r="K4" s="36">
        <v>1</v>
      </c>
      <c r="L4" s="19" t="s">
        <v>99</v>
      </c>
    </row>
    <row r="5" spans="2:12" x14ac:dyDescent="0.3">
      <c r="C5" s="36">
        <v>4</v>
      </c>
      <c r="G5" s="36">
        <v>4</v>
      </c>
      <c r="K5" s="36">
        <v>2</v>
      </c>
    </row>
    <row r="6" spans="2:12" x14ac:dyDescent="0.3">
      <c r="C6" s="36">
        <v>3</v>
      </c>
      <c r="G6" s="36">
        <v>3</v>
      </c>
      <c r="K6" s="36">
        <v>2</v>
      </c>
    </row>
    <row r="7" spans="2:12" x14ac:dyDescent="0.3">
      <c r="C7" s="13">
        <v>3</v>
      </c>
      <c r="G7" s="36">
        <v>3</v>
      </c>
      <c r="K7" s="36">
        <v>2</v>
      </c>
    </row>
    <row r="8" spans="2:12" x14ac:dyDescent="0.3">
      <c r="C8" s="13">
        <v>3</v>
      </c>
      <c r="G8" s="36">
        <v>3</v>
      </c>
      <c r="K8">
        <v>3</v>
      </c>
    </row>
    <row r="9" spans="2:12" x14ac:dyDescent="0.3">
      <c r="C9" s="13">
        <v>3</v>
      </c>
      <c r="G9" s="36">
        <v>3</v>
      </c>
      <c r="K9">
        <v>2</v>
      </c>
    </row>
    <row r="10" spans="2:12" x14ac:dyDescent="0.3">
      <c r="C10">
        <v>2</v>
      </c>
      <c r="G10">
        <v>2</v>
      </c>
      <c r="K10">
        <v>1</v>
      </c>
    </row>
    <row r="11" spans="2:12" x14ac:dyDescent="0.3">
      <c r="C11">
        <v>2</v>
      </c>
      <c r="G11">
        <v>2</v>
      </c>
      <c r="K11">
        <v>3</v>
      </c>
    </row>
    <row r="12" spans="2:12" x14ac:dyDescent="0.3">
      <c r="C12">
        <v>1</v>
      </c>
      <c r="G12">
        <v>1</v>
      </c>
      <c r="K12">
        <v>3</v>
      </c>
    </row>
    <row r="13" spans="2:12" x14ac:dyDescent="0.3">
      <c r="C13">
        <v>1</v>
      </c>
      <c r="G13">
        <v>1</v>
      </c>
      <c r="K13">
        <v>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BE50-CD5D-4E90-AA1C-4C9972B73965}">
  <dimension ref="A2:K28"/>
  <sheetViews>
    <sheetView workbookViewId="0">
      <selection activeCell="K21" sqref="K21"/>
    </sheetView>
  </sheetViews>
  <sheetFormatPr baseColWidth="10" defaultRowHeight="14.4" x14ac:dyDescent="0.3"/>
  <sheetData>
    <row r="2" spans="1:11" x14ac:dyDescent="0.3">
      <c r="B2" t="s">
        <v>66</v>
      </c>
      <c r="D2" s="19" t="s">
        <v>101</v>
      </c>
      <c r="G2" s="19" t="s">
        <v>103</v>
      </c>
    </row>
    <row r="3" spans="1:11" x14ac:dyDescent="0.3">
      <c r="A3" s="1" t="s">
        <v>51</v>
      </c>
      <c r="B3">
        <v>1</v>
      </c>
      <c r="D3" s="19" t="s">
        <v>100</v>
      </c>
      <c r="E3">
        <v>1</v>
      </c>
      <c r="G3" s="19" t="s">
        <v>102</v>
      </c>
      <c r="H3" s="36">
        <v>24</v>
      </c>
      <c r="J3" s="19" t="s">
        <v>100</v>
      </c>
      <c r="K3" s="36">
        <v>13</v>
      </c>
    </row>
    <row r="4" spans="1:11" x14ac:dyDescent="0.3">
      <c r="B4">
        <v>2</v>
      </c>
      <c r="E4">
        <v>2</v>
      </c>
      <c r="H4" s="36">
        <v>23</v>
      </c>
      <c r="K4" s="36">
        <v>14</v>
      </c>
    </row>
    <row r="5" spans="1:11" x14ac:dyDescent="0.3">
      <c r="B5">
        <v>3</v>
      </c>
      <c r="E5">
        <v>3</v>
      </c>
      <c r="H5" s="36">
        <v>22</v>
      </c>
      <c r="K5" s="36">
        <v>15</v>
      </c>
    </row>
    <row r="6" spans="1:11" x14ac:dyDescent="0.3">
      <c r="B6">
        <v>4</v>
      </c>
      <c r="E6">
        <v>4</v>
      </c>
      <c r="H6" s="36">
        <v>21</v>
      </c>
      <c r="K6" s="36">
        <v>16</v>
      </c>
    </row>
    <row r="7" spans="1:11" x14ac:dyDescent="0.3">
      <c r="B7">
        <v>5</v>
      </c>
      <c r="E7">
        <v>5</v>
      </c>
      <c r="H7" s="36">
        <v>20</v>
      </c>
      <c r="K7" s="36">
        <v>17</v>
      </c>
    </row>
    <row r="8" spans="1:11" x14ac:dyDescent="0.3">
      <c r="B8">
        <v>6</v>
      </c>
      <c r="E8">
        <v>6</v>
      </c>
      <c r="H8" s="36">
        <v>19</v>
      </c>
      <c r="K8" s="36">
        <v>18</v>
      </c>
    </row>
    <row r="9" spans="1:11" x14ac:dyDescent="0.3">
      <c r="B9">
        <v>7</v>
      </c>
      <c r="E9">
        <v>7</v>
      </c>
      <c r="H9" s="36">
        <v>18</v>
      </c>
      <c r="K9" s="36">
        <v>19</v>
      </c>
    </row>
    <row r="10" spans="1:11" x14ac:dyDescent="0.3">
      <c r="B10">
        <v>8</v>
      </c>
      <c r="E10">
        <v>8</v>
      </c>
      <c r="H10" s="36">
        <v>17</v>
      </c>
      <c r="K10" s="36">
        <v>20</v>
      </c>
    </row>
    <row r="11" spans="1:11" x14ac:dyDescent="0.3">
      <c r="B11">
        <v>9</v>
      </c>
      <c r="E11">
        <v>9</v>
      </c>
      <c r="H11" s="36">
        <v>16</v>
      </c>
      <c r="K11" s="36">
        <v>21</v>
      </c>
    </row>
    <row r="12" spans="1:11" x14ac:dyDescent="0.3">
      <c r="B12">
        <v>10</v>
      </c>
      <c r="E12">
        <v>10</v>
      </c>
      <c r="H12" s="36">
        <v>15</v>
      </c>
      <c r="K12" s="36">
        <v>22</v>
      </c>
    </row>
    <row r="13" spans="1:11" x14ac:dyDescent="0.3">
      <c r="B13">
        <v>11</v>
      </c>
      <c r="E13">
        <v>11</v>
      </c>
      <c r="H13" s="36">
        <v>14</v>
      </c>
      <c r="K13" s="36">
        <v>23</v>
      </c>
    </row>
    <row r="14" spans="1:11" x14ac:dyDescent="0.3">
      <c r="B14">
        <v>12</v>
      </c>
      <c r="E14">
        <v>12</v>
      </c>
      <c r="H14" s="36">
        <v>13</v>
      </c>
      <c r="K14" s="36">
        <v>24</v>
      </c>
    </row>
    <row r="15" spans="1:11" x14ac:dyDescent="0.3">
      <c r="B15" s="36">
        <v>13</v>
      </c>
      <c r="E15" s="36">
        <v>13</v>
      </c>
    </row>
    <row r="16" spans="1:11" x14ac:dyDescent="0.3">
      <c r="B16" s="36">
        <v>14</v>
      </c>
      <c r="E16" s="36">
        <v>14</v>
      </c>
      <c r="H16" s="16" t="s">
        <v>105</v>
      </c>
      <c r="K16" s="16" t="s">
        <v>104</v>
      </c>
    </row>
    <row r="17" spans="2:5" x14ac:dyDescent="0.3">
      <c r="B17" s="36">
        <v>15</v>
      </c>
      <c r="E17" s="36">
        <v>15</v>
      </c>
    </row>
    <row r="18" spans="2:5" x14ac:dyDescent="0.3">
      <c r="B18" s="36">
        <v>16</v>
      </c>
      <c r="E18" s="36">
        <v>16</v>
      </c>
    </row>
    <row r="19" spans="2:5" x14ac:dyDescent="0.3">
      <c r="B19" s="36">
        <v>17</v>
      </c>
      <c r="E19" s="36">
        <v>17</v>
      </c>
    </row>
    <row r="20" spans="2:5" x14ac:dyDescent="0.3">
      <c r="B20" s="36">
        <v>18</v>
      </c>
      <c r="E20" s="36">
        <v>18</v>
      </c>
    </row>
    <row r="21" spans="2:5" x14ac:dyDescent="0.3">
      <c r="B21" s="36">
        <v>19</v>
      </c>
      <c r="E21" s="36">
        <v>19</v>
      </c>
    </row>
    <row r="22" spans="2:5" x14ac:dyDescent="0.3">
      <c r="B22" s="36">
        <v>20</v>
      </c>
      <c r="E22" s="36">
        <v>20</v>
      </c>
    </row>
    <row r="23" spans="2:5" x14ac:dyDescent="0.3">
      <c r="B23" s="36">
        <v>21</v>
      </c>
      <c r="E23" s="36">
        <v>21</v>
      </c>
    </row>
    <row r="24" spans="2:5" x14ac:dyDescent="0.3">
      <c r="B24" s="36">
        <v>22</v>
      </c>
      <c r="E24" s="36">
        <v>22</v>
      </c>
    </row>
    <row r="25" spans="2:5" x14ac:dyDescent="0.3">
      <c r="B25" s="36">
        <v>23</v>
      </c>
      <c r="E25" s="36">
        <v>23</v>
      </c>
    </row>
    <row r="26" spans="2:5" x14ac:dyDescent="0.3">
      <c r="B26" s="36">
        <v>24</v>
      </c>
      <c r="E26" s="36">
        <v>24</v>
      </c>
    </row>
    <row r="27" spans="2:5" x14ac:dyDescent="0.3">
      <c r="B27">
        <v>25</v>
      </c>
    </row>
    <row r="28" spans="2:5" x14ac:dyDescent="0.3">
      <c r="E28" s="16" t="s">
        <v>106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8CE7-AA17-4873-93B8-EFDB9C1151A3}">
  <dimension ref="A3:R115"/>
  <sheetViews>
    <sheetView tabSelected="1" topLeftCell="A4" zoomScale="115" zoomScaleNormal="115" workbookViewId="0">
      <selection activeCell="O15" sqref="O15"/>
    </sheetView>
  </sheetViews>
  <sheetFormatPr baseColWidth="10" defaultColWidth="8.88671875" defaultRowHeight="14.4" x14ac:dyDescent="0.3"/>
  <cols>
    <col min="8" max="8" width="11.33203125" customWidth="1"/>
    <col min="10" max="10" width="10.77734375" customWidth="1"/>
    <col min="11" max="11" width="10.21875" bestFit="1" customWidth="1"/>
    <col min="12" max="12" width="13.6640625" bestFit="1" customWidth="1"/>
    <col min="13" max="13" width="10.109375" customWidth="1"/>
    <col min="14" max="14" width="9.44140625" customWidth="1"/>
  </cols>
  <sheetData>
    <row r="3" spans="2:17" x14ac:dyDescent="0.3">
      <c r="B3" s="18" t="s">
        <v>107</v>
      </c>
      <c r="E3" s="37" t="s">
        <v>108</v>
      </c>
      <c r="H3" s="19" t="s">
        <v>109</v>
      </c>
    </row>
    <row r="4" spans="2:17" x14ac:dyDescent="0.3">
      <c r="B4" s="38"/>
      <c r="C4" s="39">
        <v>1</v>
      </c>
      <c r="E4" s="40">
        <v>1</v>
      </c>
      <c r="F4" s="40"/>
      <c r="H4" s="41">
        <v>1</v>
      </c>
      <c r="I4" s="41"/>
      <c r="J4" s="41"/>
      <c r="K4" s="41"/>
      <c r="L4" s="41"/>
      <c r="M4" s="41"/>
      <c r="N4" s="41"/>
      <c r="O4" s="41"/>
      <c r="P4" s="41"/>
      <c r="Q4" s="41"/>
    </row>
    <row r="5" spans="2:17" x14ac:dyDescent="0.3">
      <c r="B5" s="38"/>
      <c r="C5" s="39">
        <v>2</v>
      </c>
      <c r="E5" s="42">
        <v>3</v>
      </c>
      <c r="F5" s="42" t="s">
        <v>24</v>
      </c>
      <c r="H5" s="41">
        <v>3</v>
      </c>
      <c r="I5" s="41"/>
      <c r="J5" s="41"/>
      <c r="K5" s="41"/>
      <c r="L5" s="41"/>
      <c r="M5" s="41"/>
      <c r="N5" s="41"/>
      <c r="O5" s="41"/>
      <c r="P5" s="41"/>
      <c r="Q5" s="41"/>
    </row>
    <row r="6" spans="2:17" x14ac:dyDescent="0.3">
      <c r="B6" s="38"/>
      <c r="C6" s="39">
        <v>3</v>
      </c>
      <c r="E6" s="40">
        <v>5</v>
      </c>
      <c r="F6" s="40"/>
      <c r="H6" s="41">
        <v>4</v>
      </c>
      <c r="I6" s="41"/>
      <c r="J6" s="41"/>
      <c r="K6" s="41"/>
      <c r="L6" s="41"/>
      <c r="M6" s="41"/>
      <c r="N6" s="41"/>
      <c r="O6" s="41"/>
      <c r="P6" s="41"/>
      <c r="Q6" s="41"/>
    </row>
    <row r="7" spans="2:17" x14ac:dyDescent="0.3">
      <c r="B7" s="38"/>
      <c r="C7" s="39">
        <v>4</v>
      </c>
      <c r="E7" s="40">
        <v>7</v>
      </c>
      <c r="F7" s="40"/>
    </row>
    <row r="8" spans="2:17" x14ac:dyDescent="0.3">
      <c r="B8" s="38"/>
      <c r="C8" s="39">
        <v>5</v>
      </c>
      <c r="E8" s="40">
        <v>6</v>
      </c>
      <c r="F8" s="40"/>
    </row>
    <row r="9" spans="2:17" x14ac:dyDescent="0.3">
      <c r="B9" s="38"/>
      <c r="C9" s="39">
        <v>6</v>
      </c>
      <c r="E9" s="40">
        <v>4</v>
      </c>
      <c r="F9" s="40"/>
    </row>
    <row r="10" spans="2:17" x14ac:dyDescent="0.3">
      <c r="B10" s="38"/>
      <c r="C10" s="39">
        <v>7</v>
      </c>
      <c r="E10" s="40">
        <v>2</v>
      </c>
      <c r="F10" s="40"/>
      <c r="H10" s="19" t="s">
        <v>110</v>
      </c>
      <c r="J10" s="19" t="s">
        <v>111</v>
      </c>
      <c r="L10" s="19" t="s">
        <v>112</v>
      </c>
    </row>
    <row r="11" spans="2:17" x14ac:dyDescent="0.3">
      <c r="E11" s="42">
        <v>3</v>
      </c>
      <c r="F11" s="42" t="s">
        <v>24</v>
      </c>
      <c r="H11" t="s">
        <v>116</v>
      </c>
      <c r="J11" s="36" t="s">
        <v>117</v>
      </c>
    </row>
    <row r="12" spans="2:17" x14ac:dyDescent="0.3">
      <c r="E12" s="40">
        <v>5</v>
      </c>
      <c r="F12" s="40"/>
      <c r="H12" t="s">
        <v>47</v>
      </c>
      <c r="J12" t="s">
        <v>114</v>
      </c>
      <c r="L12" s="16" t="s">
        <v>47</v>
      </c>
    </row>
    <row r="13" spans="2:17" x14ac:dyDescent="0.3">
      <c r="E13" s="40">
        <v>1</v>
      </c>
      <c r="F13" s="40"/>
      <c r="H13" t="s">
        <v>124</v>
      </c>
      <c r="J13" s="1" t="s">
        <v>125</v>
      </c>
      <c r="K13" s="1"/>
      <c r="L13" s="1"/>
    </row>
    <row r="14" spans="2:17" x14ac:dyDescent="0.3">
      <c r="E14" s="40">
        <v>4</v>
      </c>
      <c r="F14" s="40"/>
      <c r="H14" t="s">
        <v>126</v>
      </c>
      <c r="J14" t="s">
        <v>117</v>
      </c>
    </row>
    <row r="15" spans="2:17" x14ac:dyDescent="0.3">
      <c r="E15" s="40">
        <v>2</v>
      </c>
      <c r="F15" s="40"/>
      <c r="H15" s="1" t="s">
        <v>142</v>
      </c>
      <c r="I15" s="1"/>
      <c r="J15" s="1"/>
      <c r="L15" s="16" t="s">
        <v>143</v>
      </c>
    </row>
    <row r="16" spans="2:17" x14ac:dyDescent="0.3">
      <c r="E16" s="40">
        <v>6</v>
      </c>
      <c r="F16" s="40"/>
      <c r="H16" t="s">
        <v>144</v>
      </c>
      <c r="L16" s="16" t="s">
        <v>117</v>
      </c>
    </row>
    <row r="17" spans="1:18" x14ac:dyDescent="0.3">
      <c r="E17" s="40">
        <v>7</v>
      </c>
      <c r="F17" s="40"/>
    </row>
    <row r="19" spans="1:18" x14ac:dyDescent="0.3">
      <c r="H19" s="19" t="s">
        <v>128</v>
      </c>
      <c r="L19" s="19" t="s">
        <v>129</v>
      </c>
    </row>
    <row r="20" spans="1:18" x14ac:dyDescent="0.3">
      <c r="B20" t="s">
        <v>133</v>
      </c>
      <c r="H20" t="s">
        <v>47</v>
      </c>
      <c r="L20" s="36" t="s">
        <v>132</v>
      </c>
      <c r="M20" s="36"/>
    </row>
    <row r="21" spans="1:18" x14ac:dyDescent="0.3">
      <c r="B21" t="s">
        <v>134</v>
      </c>
      <c r="H21" t="s">
        <v>130</v>
      </c>
      <c r="L21" s="36" t="s">
        <v>139</v>
      </c>
    </row>
    <row r="22" spans="1:18" x14ac:dyDescent="0.3">
      <c r="B22" s="13" t="s">
        <v>135</v>
      </c>
      <c r="C22" s="13"/>
      <c r="D22" s="13"/>
      <c r="H22" s="1" t="s">
        <v>131</v>
      </c>
      <c r="I22" s="1"/>
      <c r="J22" s="1"/>
      <c r="L22" s="16" t="s">
        <v>141</v>
      </c>
    </row>
    <row r="23" spans="1:18" x14ac:dyDescent="0.3">
      <c r="B23" s="13" t="s">
        <v>136</v>
      </c>
      <c r="C23" s="13"/>
      <c r="D23" s="13"/>
      <c r="H23" s="4" t="s">
        <v>138</v>
      </c>
      <c r="I23" s="4"/>
      <c r="L23" s="4" t="s">
        <v>137</v>
      </c>
      <c r="M23" s="4"/>
    </row>
    <row r="24" spans="1:18" x14ac:dyDescent="0.3">
      <c r="H24" t="s">
        <v>47</v>
      </c>
      <c r="L24" s="16" t="s">
        <v>140</v>
      </c>
    </row>
    <row r="26" spans="1:18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9" spans="1:18" x14ac:dyDescent="0.3">
      <c r="C29" t="s">
        <v>20</v>
      </c>
      <c r="D29" t="s">
        <v>113</v>
      </c>
      <c r="E29" t="s">
        <v>21</v>
      </c>
      <c r="K29" t="s">
        <v>20</v>
      </c>
      <c r="L29" t="s">
        <v>115</v>
      </c>
      <c r="M29" t="s">
        <v>21</v>
      </c>
    </row>
    <row r="30" spans="1:18" x14ac:dyDescent="0.3">
      <c r="C30" s="18" t="s">
        <v>107</v>
      </c>
      <c r="D30" t="s">
        <v>114</v>
      </c>
      <c r="E30" s="37" t="s">
        <v>108</v>
      </c>
      <c r="K30" s="18" t="s">
        <v>107</v>
      </c>
      <c r="L30" t="s">
        <v>114</v>
      </c>
      <c r="M30" s="37" t="s">
        <v>108</v>
      </c>
    </row>
    <row r="31" spans="1:18" ht="15" thickBot="1" x14ac:dyDescent="0.35"/>
    <row r="32" spans="1:18" ht="15.6" thickTop="1" thickBot="1" x14ac:dyDescent="0.35">
      <c r="B32" s="33"/>
      <c r="C32" s="18" t="s">
        <v>107</v>
      </c>
      <c r="E32" s="37" t="s">
        <v>108</v>
      </c>
    </row>
    <row r="33" spans="3:14" ht="15.6" thickTop="1" thickBot="1" x14ac:dyDescent="0.35">
      <c r="C33" s="38"/>
      <c r="D33" s="39">
        <v>1</v>
      </c>
      <c r="E33" s="40">
        <v>1</v>
      </c>
      <c r="F33" s="40"/>
      <c r="J33" s="33"/>
      <c r="K33" s="18" t="s">
        <v>107</v>
      </c>
      <c r="M33" s="37" t="s">
        <v>108</v>
      </c>
    </row>
    <row r="34" spans="3:14" ht="15" thickTop="1" x14ac:dyDescent="0.3">
      <c r="C34" s="38"/>
      <c r="D34" s="39">
        <v>1</v>
      </c>
      <c r="E34" s="40">
        <v>1</v>
      </c>
      <c r="F34" s="40"/>
      <c r="K34" s="38"/>
      <c r="L34" s="39">
        <v>1</v>
      </c>
      <c r="M34" s="40">
        <v>1</v>
      </c>
      <c r="N34" s="40"/>
    </row>
    <row r="35" spans="3:14" x14ac:dyDescent="0.3">
      <c r="C35" s="38"/>
      <c r="D35" s="39">
        <v>2</v>
      </c>
      <c r="E35" s="40">
        <v>2</v>
      </c>
      <c r="F35" s="40"/>
      <c r="K35" s="38"/>
      <c r="L35" s="39">
        <v>2</v>
      </c>
      <c r="M35" s="40">
        <v>2</v>
      </c>
      <c r="N35" s="40"/>
    </row>
    <row r="36" spans="3:14" x14ac:dyDescent="0.3">
      <c r="C36" s="38"/>
      <c r="D36" s="39">
        <v>2</v>
      </c>
      <c r="E36" s="40">
        <v>2</v>
      </c>
      <c r="F36" s="40"/>
      <c r="K36" s="38"/>
      <c r="L36" s="39">
        <v>4</v>
      </c>
      <c r="M36" s="40">
        <v>4</v>
      </c>
      <c r="N36" s="40"/>
    </row>
    <row r="37" spans="3:14" x14ac:dyDescent="0.3">
      <c r="C37" s="38"/>
      <c r="D37" s="39">
        <v>3</v>
      </c>
      <c r="E37" s="42">
        <v>3</v>
      </c>
      <c r="F37" s="42" t="s">
        <v>24</v>
      </c>
      <c r="K37" s="38"/>
      <c r="L37" s="39">
        <v>5</v>
      </c>
      <c r="M37" s="40">
        <v>5</v>
      </c>
      <c r="N37" s="40"/>
    </row>
    <row r="38" spans="3:14" x14ac:dyDescent="0.3">
      <c r="C38" s="38"/>
      <c r="D38" s="39">
        <v>4</v>
      </c>
      <c r="E38" s="40">
        <v>4</v>
      </c>
      <c r="F38" s="40"/>
      <c r="K38" s="38"/>
      <c r="L38" s="39">
        <v>6</v>
      </c>
      <c r="M38" s="40">
        <v>6</v>
      </c>
      <c r="N38" s="40"/>
    </row>
    <row r="39" spans="3:14" x14ac:dyDescent="0.3">
      <c r="C39" s="38"/>
      <c r="D39" s="39">
        <v>4</v>
      </c>
      <c r="E39" s="40">
        <v>4</v>
      </c>
      <c r="F39" s="40"/>
      <c r="K39" s="38"/>
      <c r="L39" s="39">
        <v>7</v>
      </c>
      <c r="M39" s="40">
        <v>7</v>
      </c>
      <c r="N39" s="40"/>
    </row>
    <row r="40" spans="3:14" x14ac:dyDescent="0.3">
      <c r="C40" s="38"/>
      <c r="D40" s="39">
        <v>5</v>
      </c>
      <c r="E40" s="40">
        <v>5</v>
      </c>
      <c r="F40" s="40"/>
      <c r="K40" s="38"/>
      <c r="L40" s="39">
        <v>5</v>
      </c>
      <c r="M40" s="40">
        <v>5</v>
      </c>
      <c r="N40" s="40"/>
    </row>
    <row r="41" spans="3:14" x14ac:dyDescent="0.3">
      <c r="C41" s="38"/>
      <c r="D41" s="39">
        <v>5</v>
      </c>
      <c r="E41" s="40">
        <v>5</v>
      </c>
      <c r="F41" s="40"/>
      <c r="K41" s="38"/>
      <c r="L41" s="39">
        <v>1</v>
      </c>
      <c r="M41" s="40">
        <v>1</v>
      </c>
      <c r="N41" s="40"/>
    </row>
    <row r="42" spans="3:14" x14ac:dyDescent="0.3">
      <c r="C42" s="38"/>
      <c r="D42" s="39">
        <v>6</v>
      </c>
      <c r="E42" s="40">
        <v>6</v>
      </c>
      <c r="F42" s="40"/>
      <c r="K42" s="38"/>
      <c r="L42" s="39">
        <v>4</v>
      </c>
      <c r="M42" s="40">
        <v>4</v>
      </c>
      <c r="N42" s="40"/>
    </row>
    <row r="43" spans="3:14" x14ac:dyDescent="0.3">
      <c r="C43" s="38"/>
      <c r="D43" s="39">
        <v>6</v>
      </c>
      <c r="E43" s="40">
        <v>6</v>
      </c>
      <c r="F43" s="40"/>
      <c r="K43" s="38"/>
      <c r="L43" s="39">
        <v>2</v>
      </c>
      <c r="M43" s="40">
        <v>2</v>
      </c>
      <c r="N43" s="40"/>
    </row>
    <row r="44" spans="3:14" x14ac:dyDescent="0.3">
      <c r="C44" s="38"/>
      <c r="D44" s="39">
        <v>7</v>
      </c>
      <c r="E44" s="40">
        <v>7</v>
      </c>
      <c r="F44" s="40"/>
      <c r="K44" s="38"/>
      <c r="L44" s="39">
        <v>2</v>
      </c>
      <c r="M44" s="40">
        <v>6</v>
      </c>
      <c r="N44" s="40"/>
    </row>
    <row r="45" spans="3:14" x14ac:dyDescent="0.3">
      <c r="C45" s="38"/>
      <c r="D45" s="39">
        <v>7</v>
      </c>
      <c r="E45" s="40">
        <v>7</v>
      </c>
      <c r="F45" s="40"/>
      <c r="K45" s="38"/>
      <c r="L45" s="39">
        <v>7</v>
      </c>
      <c r="M45" s="40">
        <v>7</v>
      </c>
      <c r="N45" s="40"/>
    </row>
    <row r="46" spans="3:14" x14ac:dyDescent="0.3">
      <c r="K46" s="38"/>
      <c r="L46" s="39">
        <v>3</v>
      </c>
      <c r="M46" s="42">
        <v>3</v>
      </c>
      <c r="N46" s="42" t="s">
        <v>24</v>
      </c>
    </row>
    <row r="50" spans="2:14" x14ac:dyDescent="0.3">
      <c r="D50" t="s">
        <v>119</v>
      </c>
    </row>
    <row r="51" spans="2:14" x14ac:dyDescent="0.3">
      <c r="C51" t="s">
        <v>20</v>
      </c>
      <c r="D51" t="s">
        <v>118</v>
      </c>
      <c r="E51" t="s">
        <v>21</v>
      </c>
    </row>
    <row r="52" spans="2:14" x14ac:dyDescent="0.3">
      <c r="C52" s="18" t="s">
        <v>107</v>
      </c>
      <c r="D52" t="s">
        <v>114</v>
      </c>
      <c r="E52" s="37" t="s">
        <v>108</v>
      </c>
      <c r="K52" t="s">
        <v>20</v>
      </c>
      <c r="L52" t="s">
        <v>120</v>
      </c>
      <c r="M52" t="s">
        <v>21</v>
      </c>
    </row>
    <row r="53" spans="2:14" ht="15" thickBot="1" x14ac:dyDescent="0.35">
      <c r="K53" s="18" t="s">
        <v>107</v>
      </c>
      <c r="L53" t="s">
        <v>114</v>
      </c>
      <c r="M53" s="37" t="s">
        <v>108</v>
      </c>
    </row>
    <row r="54" spans="2:14" ht="15.6" thickTop="1" thickBot="1" x14ac:dyDescent="0.35">
      <c r="B54" s="33"/>
      <c r="C54" s="18" t="s">
        <v>107</v>
      </c>
      <c r="E54" s="37" t="s">
        <v>108</v>
      </c>
      <c r="L54" s="1" t="s">
        <v>123</v>
      </c>
      <c r="M54" s="1"/>
    </row>
    <row r="55" spans="2:14" ht="15" thickTop="1" x14ac:dyDescent="0.3">
      <c r="C55" s="38"/>
      <c r="D55" s="39">
        <v>1</v>
      </c>
      <c r="E55" s="40">
        <v>1</v>
      </c>
      <c r="F55" s="40"/>
    </row>
    <row r="56" spans="2:14" x14ac:dyDescent="0.3">
      <c r="C56" s="38"/>
      <c r="D56" s="39">
        <v>2</v>
      </c>
      <c r="E56" s="40">
        <v>2</v>
      </c>
      <c r="F56" s="40"/>
    </row>
    <row r="57" spans="2:14" x14ac:dyDescent="0.3">
      <c r="C57" s="38"/>
      <c r="D57" s="39">
        <v>4</v>
      </c>
      <c r="E57" s="40">
        <v>4</v>
      </c>
      <c r="F57" s="40"/>
      <c r="K57" s="38"/>
      <c r="L57" s="39">
        <v>3</v>
      </c>
      <c r="M57" s="42" t="s">
        <v>24</v>
      </c>
      <c r="N57" s="43"/>
    </row>
    <row r="58" spans="2:14" x14ac:dyDescent="0.3">
      <c r="C58" s="38"/>
      <c r="D58" s="39">
        <v>5</v>
      </c>
      <c r="E58" s="40">
        <v>5</v>
      </c>
      <c r="F58" s="40"/>
      <c r="L58" t="s">
        <v>121</v>
      </c>
      <c r="M58" t="s">
        <v>122</v>
      </c>
    </row>
    <row r="59" spans="2:14" x14ac:dyDescent="0.3">
      <c r="C59" s="38"/>
      <c r="D59" s="39">
        <v>6</v>
      </c>
      <c r="E59" s="40">
        <v>6</v>
      </c>
      <c r="F59" s="40"/>
    </row>
    <row r="60" spans="2:14" x14ac:dyDescent="0.3">
      <c r="C60" s="38"/>
      <c r="D60" s="39">
        <v>7</v>
      </c>
      <c r="E60" s="40">
        <v>7</v>
      </c>
      <c r="F60" s="40"/>
    </row>
    <row r="61" spans="2:14" x14ac:dyDescent="0.3">
      <c r="C61" s="38"/>
      <c r="D61" s="39">
        <v>5</v>
      </c>
      <c r="E61" s="40">
        <v>5</v>
      </c>
      <c r="F61" s="40"/>
    </row>
    <row r="62" spans="2:14" x14ac:dyDescent="0.3">
      <c r="C62" s="38"/>
      <c r="D62" s="39">
        <v>1</v>
      </c>
      <c r="E62" s="40">
        <v>1</v>
      </c>
      <c r="F62" s="40"/>
    </row>
    <row r="63" spans="2:14" x14ac:dyDescent="0.3">
      <c r="C63" s="38"/>
      <c r="D63" s="39">
        <v>4</v>
      </c>
      <c r="E63" s="40">
        <v>4</v>
      </c>
      <c r="F63" s="40"/>
    </row>
    <row r="64" spans="2:14" x14ac:dyDescent="0.3">
      <c r="C64" s="38"/>
      <c r="D64" s="39">
        <v>2</v>
      </c>
      <c r="E64" s="40">
        <v>2</v>
      </c>
      <c r="F64" s="40"/>
    </row>
    <row r="65" spans="3:14" x14ac:dyDescent="0.3">
      <c r="C65" s="38"/>
      <c r="D65" s="39">
        <v>2</v>
      </c>
      <c r="E65" s="40">
        <v>6</v>
      </c>
      <c r="F65" s="40"/>
    </row>
    <row r="66" spans="3:14" x14ac:dyDescent="0.3">
      <c r="C66" s="38"/>
      <c r="D66" s="39">
        <v>7</v>
      </c>
      <c r="E66" s="40">
        <v>7</v>
      </c>
      <c r="F66" s="40"/>
    </row>
    <row r="67" spans="3:14" x14ac:dyDescent="0.3">
      <c r="D67" t="s">
        <v>121</v>
      </c>
      <c r="E67" t="s">
        <v>122</v>
      </c>
    </row>
    <row r="71" spans="3:14" x14ac:dyDescent="0.3">
      <c r="C71" t="s">
        <v>20</v>
      </c>
      <c r="D71" t="s">
        <v>115</v>
      </c>
      <c r="E71" t="s">
        <v>21</v>
      </c>
    </row>
    <row r="72" spans="3:14" x14ac:dyDescent="0.3">
      <c r="C72" s="37" t="s">
        <v>108</v>
      </c>
      <c r="D72" t="s">
        <v>114</v>
      </c>
      <c r="E72" s="19" t="s">
        <v>109</v>
      </c>
    </row>
    <row r="74" spans="3:14" x14ac:dyDescent="0.3">
      <c r="C74" s="37" t="s">
        <v>108</v>
      </c>
      <c r="E74" s="19" t="s">
        <v>109</v>
      </c>
    </row>
    <row r="75" spans="3:14" x14ac:dyDescent="0.3">
      <c r="C75" s="40">
        <v>1</v>
      </c>
      <c r="D75" s="40"/>
      <c r="E75" s="41">
        <v>1</v>
      </c>
      <c r="F75" s="41"/>
      <c r="G75" s="41"/>
      <c r="H75" s="41"/>
      <c r="I75" s="41"/>
      <c r="J75" s="41"/>
      <c r="K75" s="41"/>
      <c r="L75" s="41"/>
      <c r="M75" s="41"/>
      <c r="N75" s="41"/>
    </row>
    <row r="76" spans="3:14" x14ac:dyDescent="0.3">
      <c r="C76" s="40">
        <v>3</v>
      </c>
      <c r="D76" s="40"/>
      <c r="E76" s="41">
        <v>3</v>
      </c>
      <c r="F76" s="41"/>
      <c r="G76" s="41"/>
      <c r="H76" s="41"/>
      <c r="I76" s="41"/>
      <c r="J76" s="41"/>
      <c r="K76" s="41"/>
      <c r="L76" s="41"/>
      <c r="M76" s="41"/>
      <c r="N76" s="41"/>
    </row>
    <row r="77" spans="3:14" x14ac:dyDescent="0.3">
      <c r="C77" s="40">
        <v>5</v>
      </c>
      <c r="D77" s="40"/>
      <c r="E77" s="44" t="s">
        <v>24</v>
      </c>
      <c r="F77" s="44" t="s">
        <v>24</v>
      </c>
      <c r="G77" s="44" t="s">
        <v>24</v>
      </c>
      <c r="H77" s="44"/>
      <c r="I77" s="44"/>
      <c r="J77" s="44"/>
      <c r="K77" s="44"/>
      <c r="L77" s="44"/>
      <c r="M77" s="44"/>
      <c r="N77" s="44"/>
    </row>
    <row r="78" spans="3:14" x14ac:dyDescent="0.3">
      <c r="C78" s="40">
        <v>7</v>
      </c>
      <c r="D78" s="40"/>
      <c r="E78" s="44" t="s">
        <v>24</v>
      </c>
      <c r="F78" s="44" t="s">
        <v>24</v>
      </c>
      <c r="G78" s="44"/>
      <c r="H78" s="44"/>
      <c r="I78" s="44"/>
      <c r="J78" s="44"/>
      <c r="K78" s="44"/>
      <c r="L78" s="44"/>
      <c r="M78" s="44"/>
      <c r="N78" s="44"/>
    </row>
    <row r="79" spans="3:14" x14ac:dyDescent="0.3">
      <c r="C79" s="40">
        <v>6</v>
      </c>
      <c r="D79" s="40"/>
      <c r="E79" s="44" t="s">
        <v>24</v>
      </c>
      <c r="F79" s="44"/>
      <c r="G79" s="44"/>
      <c r="H79" s="44"/>
      <c r="I79" s="44"/>
      <c r="J79" s="44"/>
      <c r="K79" s="44"/>
      <c r="L79" s="44"/>
      <c r="M79" s="44"/>
      <c r="N79" s="44"/>
    </row>
    <row r="80" spans="3:14" x14ac:dyDescent="0.3">
      <c r="C80" s="40">
        <v>4</v>
      </c>
      <c r="D80" s="40"/>
      <c r="E80" s="41">
        <v>4</v>
      </c>
      <c r="F80" s="41"/>
      <c r="G80" s="41"/>
      <c r="H80" s="41"/>
      <c r="I80" s="41"/>
      <c r="J80" s="41"/>
      <c r="K80" s="41"/>
      <c r="L80" s="41"/>
      <c r="M80" s="41"/>
      <c r="N80" s="41"/>
    </row>
    <row r="81" spans="3:14" x14ac:dyDescent="0.3">
      <c r="C81" s="40">
        <v>2</v>
      </c>
      <c r="D81" s="40"/>
      <c r="E81" s="44" t="s">
        <v>24</v>
      </c>
      <c r="F81" s="44"/>
      <c r="G81" s="44"/>
      <c r="H81" s="44"/>
      <c r="I81" s="44"/>
      <c r="J81" s="44"/>
      <c r="K81" s="44"/>
      <c r="L81" s="44"/>
      <c r="M81" s="44"/>
      <c r="N81" s="44"/>
    </row>
    <row r="82" spans="3:14" x14ac:dyDescent="0.3">
      <c r="C82" s="40">
        <v>3</v>
      </c>
      <c r="D82" s="40"/>
      <c r="E82" s="41">
        <v>3</v>
      </c>
      <c r="F82" s="41"/>
      <c r="G82" s="41"/>
      <c r="H82" s="41"/>
      <c r="I82" s="41"/>
      <c r="J82" s="41"/>
      <c r="K82" s="41"/>
      <c r="L82" s="41"/>
      <c r="M82" s="41"/>
      <c r="N82" s="41"/>
    </row>
    <row r="83" spans="3:14" x14ac:dyDescent="0.3">
      <c r="C83" s="40">
        <v>5</v>
      </c>
      <c r="D83" s="40"/>
      <c r="E83" s="44" t="s">
        <v>24</v>
      </c>
      <c r="F83" s="44"/>
      <c r="G83" s="44"/>
      <c r="H83" s="44"/>
      <c r="I83" s="44"/>
      <c r="J83" s="44"/>
      <c r="K83" s="44"/>
      <c r="L83" s="44"/>
      <c r="M83" s="44"/>
      <c r="N83" s="44"/>
    </row>
    <row r="84" spans="3:14" x14ac:dyDescent="0.3">
      <c r="C84" s="40">
        <v>1</v>
      </c>
      <c r="D84" s="40"/>
      <c r="E84" s="41">
        <v>1</v>
      </c>
      <c r="F84" s="41"/>
      <c r="G84" s="41"/>
      <c r="H84" s="41"/>
      <c r="I84" s="41"/>
      <c r="J84" s="41"/>
      <c r="K84" s="41"/>
      <c r="L84" s="41"/>
      <c r="M84" s="41"/>
      <c r="N84" s="41"/>
    </row>
    <row r="85" spans="3:14" x14ac:dyDescent="0.3">
      <c r="C85" s="40">
        <v>4</v>
      </c>
      <c r="D85" s="40"/>
      <c r="E85" s="41">
        <v>4</v>
      </c>
      <c r="F85" s="41"/>
      <c r="G85" s="41"/>
      <c r="H85" s="41"/>
      <c r="I85" s="41"/>
      <c r="J85" s="41"/>
      <c r="K85" s="41"/>
      <c r="L85" s="41"/>
      <c r="M85" s="41"/>
      <c r="N85" s="41"/>
    </row>
    <row r="86" spans="3:14" x14ac:dyDescent="0.3">
      <c r="C86" s="40">
        <v>2</v>
      </c>
      <c r="D86" s="40"/>
      <c r="E86" s="44" t="s">
        <v>24</v>
      </c>
      <c r="F86" s="44"/>
      <c r="G86" s="44"/>
      <c r="H86" s="44"/>
      <c r="I86" s="44"/>
      <c r="J86" s="44"/>
      <c r="K86" s="44"/>
      <c r="L86" s="44"/>
      <c r="M86" s="44"/>
      <c r="N86" s="44"/>
    </row>
    <row r="87" spans="3:14" x14ac:dyDescent="0.3">
      <c r="C87" s="40">
        <v>6</v>
      </c>
      <c r="D87" s="40"/>
      <c r="E87" s="44" t="s">
        <v>24</v>
      </c>
      <c r="F87" s="44" t="s">
        <v>24</v>
      </c>
      <c r="G87" s="44"/>
      <c r="H87" s="44"/>
      <c r="I87" s="44"/>
      <c r="J87" s="44"/>
      <c r="K87" s="44"/>
      <c r="L87" s="44"/>
      <c r="M87" s="44"/>
      <c r="N87" s="44"/>
    </row>
    <row r="88" spans="3:14" x14ac:dyDescent="0.3">
      <c r="C88" s="40">
        <v>7</v>
      </c>
      <c r="D88" s="40"/>
      <c r="E88" s="44" t="s">
        <v>24</v>
      </c>
      <c r="F88" s="44" t="s">
        <v>24</v>
      </c>
      <c r="G88" s="44" t="s">
        <v>24</v>
      </c>
      <c r="H88" s="44"/>
      <c r="I88" s="44"/>
      <c r="J88" s="44"/>
      <c r="K88" s="44"/>
      <c r="L88" s="44"/>
      <c r="M88" s="44"/>
      <c r="N88" s="44"/>
    </row>
    <row r="91" spans="3:14" x14ac:dyDescent="0.3">
      <c r="C91" t="s">
        <v>20</v>
      </c>
      <c r="D91" t="s">
        <v>118</v>
      </c>
      <c r="E91" t="s">
        <v>21</v>
      </c>
    </row>
    <row r="92" spans="3:14" x14ac:dyDescent="0.3">
      <c r="C92" s="37" t="s">
        <v>108</v>
      </c>
      <c r="D92" t="s">
        <v>114</v>
      </c>
      <c r="E92" s="19" t="s">
        <v>109</v>
      </c>
    </row>
    <row r="94" spans="3:14" x14ac:dyDescent="0.3">
      <c r="C94" s="37" t="s">
        <v>108</v>
      </c>
      <c r="E94" s="19" t="s">
        <v>109</v>
      </c>
    </row>
    <row r="95" spans="3:14" x14ac:dyDescent="0.3">
      <c r="C95" s="40">
        <v>1</v>
      </c>
      <c r="D95" s="40"/>
      <c r="E95" s="41">
        <v>1</v>
      </c>
      <c r="F95" s="41"/>
      <c r="G95" s="41"/>
      <c r="H95" s="41"/>
      <c r="I95" s="41"/>
      <c r="J95" s="41"/>
      <c r="K95" s="41"/>
      <c r="L95" s="41"/>
      <c r="M95" s="41"/>
      <c r="N95" s="41"/>
    </row>
    <row r="96" spans="3:14" x14ac:dyDescent="0.3">
      <c r="C96" s="40">
        <v>3</v>
      </c>
      <c r="D96" s="40"/>
      <c r="E96" s="41">
        <v>3</v>
      </c>
      <c r="F96" s="41"/>
      <c r="G96" s="41"/>
      <c r="H96" s="41"/>
      <c r="I96" s="41"/>
      <c r="J96" s="41"/>
      <c r="K96" s="41"/>
      <c r="L96" s="41"/>
      <c r="M96" s="41"/>
      <c r="N96" s="41"/>
    </row>
    <row r="97" spans="3:14" x14ac:dyDescent="0.3">
      <c r="C97" s="40">
        <v>4</v>
      </c>
      <c r="D97" s="40"/>
      <c r="E97" s="41">
        <v>4</v>
      </c>
      <c r="F97" s="41"/>
      <c r="G97" s="41"/>
      <c r="H97" s="41"/>
      <c r="I97" s="41"/>
      <c r="J97" s="41"/>
      <c r="K97" s="41"/>
      <c r="L97" s="41"/>
      <c r="M97" s="41"/>
      <c r="N97" s="41"/>
    </row>
    <row r="98" spans="3:14" x14ac:dyDescent="0.3">
      <c r="C98" s="40">
        <v>3</v>
      </c>
      <c r="D98" s="40"/>
      <c r="E98" s="41">
        <v>3</v>
      </c>
      <c r="F98" s="41"/>
      <c r="G98" s="41"/>
      <c r="H98" s="41"/>
      <c r="I98" s="41"/>
      <c r="J98" s="41"/>
      <c r="K98" s="41"/>
      <c r="L98" s="41"/>
      <c r="M98" s="41"/>
      <c r="N98" s="41"/>
    </row>
    <row r="99" spans="3:14" x14ac:dyDescent="0.3">
      <c r="C99" s="40">
        <v>1</v>
      </c>
      <c r="D99" s="40"/>
      <c r="E99" s="41">
        <v>1</v>
      </c>
      <c r="F99" s="41"/>
      <c r="G99" s="41"/>
      <c r="H99" s="41"/>
      <c r="I99" s="41"/>
      <c r="J99" s="41"/>
      <c r="K99" s="41"/>
      <c r="L99" s="41"/>
      <c r="M99" s="41"/>
      <c r="N99" s="41"/>
    </row>
    <row r="100" spans="3:14" x14ac:dyDescent="0.3">
      <c r="C100" s="40">
        <v>4</v>
      </c>
      <c r="D100" s="40"/>
      <c r="E100" s="41">
        <v>4</v>
      </c>
      <c r="F100" s="41"/>
      <c r="G100" s="41"/>
      <c r="H100" s="41"/>
      <c r="I100" s="41"/>
      <c r="J100" s="41"/>
      <c r="K100" s="41"/>
      <c r="L100" s="41"/>
      <c r="M100" s="41"/>
      <c r="N100" s="41"/>
    </row>
    <row r="102" spans="3:14" x14ac:dyDescent="0.3">
      <c r="D102" t="s">
        <v>119</v>
      </c>
    </row>
    <row r="103" spans="3:14" x14ac:dyDescent="0.3">
      <c r="D103" t="s">
        <v>127</v>
      </c>
    </row>
    <row r="104" spans="3:14" x14ac:dyDescent="0.3">
      <c r="C104" s="37" t="s">
        <v>108</v>
      </c>
      <c r="D104" t="s">
        <v>114</v>
      </c>
      <c r="E104" s="19" t="s">
        <v>109</v>
      </c>
    </row>
    <row r="105" spans="3:14" x14ac:dyDescent="0.3">
      <c r="D105" s="1" t="s">
        <v>123</v>
      </c>
      <c r="E105" s="1"/>
    </row>
    <row r="107" spans="3:14" x14ac:dyDescent="0.3">
      <c r="C107" s="37" t="s">
        <v>108</v>
      </c>
      <c r="E107" s="19" t="s">
        <v>109</v>
      </c>
    </row>
    <row r="108" spans="3:14" x14ac:dyDescent="0.3">
      <c r="C108" s="40">
        <v>5</v>
      </c>
      <c r="D108" s="40"/>
      <c r="E108" s="44" t="s">
        <v>24</v>
      </c>
      <c r="F108" s="44" t="s">
        <v>24</v>
      </c>
      <c r="G108" s="44" t="s">
        <v>24</v>
      </c>
      <c r="H108" s="44"/>
      <c r="I108" s="44"/>
      <c r="J108" s="44"/>
      <c r="K108" s="44"/>
      <c r="L108" s="44"/>
      <c r="M108" s="44"/>
      <c r="N108" s="44"/>
    </row>
    <row r="109" spans="3:14" x14ac:dyDescent="0.3">
      <c r="C109" s="40">
        <v>7</v>
      </c>
      <c r="D109" s="40"/>
      <c r="E109" s="44" t="s">
        <v>24</v>
      </c>
      <c r="F109" s="44" t="s">
        <v>24</v>
      </c>
      <c r="G109" s="44"/>
      <c r="H109" s="44"/>
      <c r="I109" s="44"/>
      <c r="J109" s="44"/>
      <c r="K109" s="44"/>
      <c r="L109" s="44"/>
      <c r="M109" s="44"/>
      <c r="N109" s="44"/>
    </row>
    <row r="110" spans="3:14" x14ac:dyDescent="0.3">
      <c r="C110" s="40">
        <v>6</v>
      </c>
      <c r="D110" s="40"/>
      <c r="E110" s="44" t="s">
        <v>24</v>
      </c>
      <c r="F110" s="44"/>
      <c r="G110" s="44"/>
      <c r="H110" s="44"/>
      <c r="I110" s="44"/>
      <c r="J110" s="44"/>
      <c r="K110" s="44"/>
      <c r="L110" s="44"/>
      <c r="M110" s="44"/>
      <c r="N110" s="44"/>
    </row>
    <row r="111" spans="3:14" x14ac:dyDescent="0.3">
      <c r="C111" s="40">
        <v>2</v>
      </c>
      <c r="D111" s="40"/>
      <c r="E111" s="44" t="s">
        <v>24</v>
      </c>
      <c r="F111" s="44"/>
      <c r="G111" s="44"/>
      <c r="H111" s="44"/>
      <c r="I111" s="44"/>
      <c r="J111" s="44"/>
      <c r="K111" s="44"/>
      <c r="L111" s="44"/>
      <c r="M111" s="44"/>
      <c r="N111" s="44"/>
    </row>
    <row r="112" spans="3:14" x14ac:dyDescent="0.3">
      <c r="C112" s="40">
        <v>5</v>
      </c>
      <c r="D112" s="40"/>
      <c r="E112" s="44" t="s">
        <v>24</v>
      </c>
      <c r="F112" s="44"/>
      <c r="G112" s="44"/>
      <c r="H112" s="44"/>
      <c r="I112" s="44"/>
      <c r="J112" s="44"/>
      <c r="K112" s="44"/>
      <c r="L112" s="44"/>
      <c r="M112" s="44"/>
      <c r="N112" s="44"/>
    </row>
    <row r="113" spans="3:14" x14ac:dyDescent="0.3">
      <c r="C113" s="40">
        <v>2</v>
      </c>
      <c r="D113" s="40"/>
      <c r="E113" s="44" t="s">
        <v>24</v>
      </c>
      <c r="F113" s="44"/>
      <c r="G113" s="44"/>
      <c r="H113" s="44"/>
      <c r="I113" s="44"/>
      <c r="J113" s="44"/>
      <c r="K113" s="44"/>
      <c r="L113" s="44"/>
      <c r="M113" s="44"/>
      <c r="N113" s="44"/>
    </row>
    <row r="114" spans="3:14" x14ac:dyDescent="0.3">
      <c r="C114" s="40">
        <v>6</v>
      </c>
      <c r="D114" s="40"/>
      <c r="E114" s="44" t="s">
        <v>24</v>
      </c>
      <c r="F114" s="44" t="s">
        <v>24</v>
      </c>
      <c r="G114" s="44"/>
      <c r="H114" s="44"/>
      <c r="I114" s="44"/>
      <c r="J114" s="44"/>
      <c r="K114" s="44"/>
      <c r="L114" s="44"/>
      <c r="M114" s="44"/>
      <c r="N114" s="44"/>
    </row>
    <row r="115" spans="3:14" x14ac:dyDescent="0.3">
      <c r="C115" s="40">
        <v>7</v>
      </c>
      <c r="D115" s="40"/>
      <c r="E115" s="44" t="s">
        <v>24</v>
      </c>
      <c r="F115" s="44" t="s">
        <v>24</v>
      </c>
      <c r="G115" s="44" t="s">
        <v>24</v>
      </c>
      <c r="H115" s="44"/>
      <c r="I115" s="44"/>
      <c r="J115" s="44"/>
      <c r="K115" s="44"/>
      <c r="L115" s="44"/>
      <c r="M115" s="44"/>
      <c r="N115" s="44"/>
    </row>
  </sheetData>
  <sortState xmlns:xlrd2="http://schemas.microsoft.com/office/spreadsheetml/2017/richdata2" ref="E33:F45">
    <sortCondition ref="E33:E45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E7885-7AB2-47DE-98C6-F5E1157480AA}">
  <dimension ref="A3:H13"/>
  <sheetViews>
    <sheetView zoomScale="130" zoomScaleNormal="130" workbookViewId="0">
      <selection activeCell="G15" sqref="G15"/>
    </sheetView>
  </sheetViews>
  <sheetFormatPr baseColWidth="10" defaultRowHeight="14.4" x14ac:dyDescent="0.3"/>
  <cols>
    <col min="1" max="1" width="17.77734375" customWidth="1"/>
    <col min="2" max="2" width="46.33203125" customWidth="1"/>
    <col min="5" max="5" width="11.6640625" customWidth="1"/>
  </cols>
  <sheetData>
    <row r="3" spans="1:8" x14ac:dyDescent="0.3">
      <c r="A3" s="4" t="s">
        <v>155</v>
      </c>
      <c r="B3" s="4" t="s">
        <v>156</v>
      </c>
      <c r="D3" t="s">
        <v>159</v>
      </c>
      <c r="E3" t="s">
        <v>160</v>
      </c>
      <c r="F3" t="s">
        <v>161</v>
      </c>
      <c r="G3" t="s">
        <v>162</v>
      </c>
      <c r="H3" t="s">
        <v>163</v>
      </c>
    </row>
    <row r="4" spans="1:8" x14ac:dyDescent="0.3">
      <c r="A4" s="13" t="s">
        <v>157</v>
      </c>
      <c r="B4" s="51" t="s">
        <v>158</v>
      </c>
      <c r="D4" s="48">
        <v>44447</v>
      </c>
      <c r="E4">
        <v>12</v>
      </c>
      <c r="F4">
        <v>19</v>
      </c>
      <c r="G4">
        <v>42</v>
      </c>
      <c r="H4">
        <v>2</v>
      </c>
    </row>
    <row r="5" spans="1:8" x14ac:dyDescent="0.3">
      <c r="B5" s="45">
        <f ca="1">NOW()</f>
        <v>44448.377026041664</v>
      </c>
    </row>
    <row r="6" spans="1:8" x14ac:dyDescent="0.3">
      <c r="A6" s="4" t="s">
        <v>145</v>
      </c>
      <c r="B6" s="47">
        <f ca="1">NOW()</f>
        <v>44448.377026041664</v>
      </c>
    </row>
    <row r="7" spans="1:8" x14ac:dyDescent="0.3">
      <c r="D7" t="s">
        <v>152</v>
      </c>
    </row>
    <row r="8" spans="1:8" x14ac:dyDescent="0.3">
      <c r="A8" s="19" t="s">
        <v>146</v>
      </c>
      <c r="B8" s="29" t="s">
        <v>149</v>
      </c>
      <c r="C8" t="s">
        <v>150</v>
      </c>
      <c r="D8" s="48">
        <v>36046</v>
      </c>
      <c r="F8" s="46">
        <v>40</v>
      </c>
    </row>
    <row r="9" spans="1:8" x14ac:dyDescent="0.3">
      <c r="A9" s="19" t="s">
        <v>147</v>
      </c>
      <c r="B9" s="29" t="s">
        <v>148</v>
      </c>
      <c r="C9" t="s">
        <v>151</v>
      </c>
      <c r="D9" s="48">
        <v>44417</v>
      </c>
      <c r="F9" s="46">
        <v>40</v>
      </c>
    </row>
    <row r="10" spans="1:8" x14ac:dyDescent="0.3">
      <c r="A10" s="16" t="s">
        <v>153</v>
      </c>
      <c r="B10" s="29" t="s">
        <v>154</v>
      </c>
      <c r="F10" s="49">
        <v>1.6666666666666667</v>
      </c>
    </row>
    <row r="12" spans="1:8" x14ac:dyDescent="0.3">
      <c r="C12" s="50">
        <v>0.375</v>
      </c>
      <c r="E12" s="21" t="s">
        <v>159</v>
      </c>
      <c r="F12" s="21" t="s">
        <v>170</v>
      </c>
      <c r="G12" s="21" t="s">
        <v>171</v>
      </c>
      <c r="H12" s="21" t="s">
        <v>172</v>
      </c>
    </row>
    <row r="13" spans="1:8" x14ac:dyDescent="0.3">
      <c r="B13" s="45">
        <f>C13-C12</f>
        <v>0.33333333333333337</v>
      </c>
      <c r="C13" s="50">
        <v>0.70833333333333337</v>
      </c>
      <c r="E13" s="52">
        <v>44447</v>
      </c>
      <c r="F13" s="53" t="s">
        <v>173</v>
      </c>
      <c r="G13" s="53" t="s">
        <v>174</v>
      </c>
      <c r="H13" s="53" t="s">
        <v>175</v>
      </c>
    </row>
  </sheetData>
  <phoneticPr fontId="7" type="noConversion"/>
  <pageMargins left="0.7" right="0.7" top="0.78740157499999996" bottom="0.78740157499999996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E1132-2478-41CB-9E6A-4C09655762D9}">
  <dimension ref="B2:E8"/>
  <sheetViews>
    <sheetView zoomScale="205" zoomScaleNormal="205" workbookViewId="0">
      <selection activeCell="D10" sqref="D10"/>
    </sheetView>
  </sheetViews>
  <sheetFormatPr baseColWidth="10" defaultRowHeight="14.4" x14ac:dyDescent="0.3"/>
  <cols>
    <col min="2" max="2" width="13" bestFit="1" customWidth="1"/>
  </cols>
  <sheetData>
    <row r="2" spans="2:5" x14ac:dyDescent="0.3">
      <c r="B2" s="1" t="s">
        <v>167</v>
      </c>
      <c r="C2" s="1" t="s">
        <v>168</v>
      </c>
      <c r="D2" s="1" t="s">
        <v>168</v>
      </c>
      <c r="E2" s="1" t="s">
        <v>168</v>
      </c>
    </row>
    <row r="4" spans="2:5" x14ac:dyDescent="0.3">
      <c r="B4" t="s">
        <v>166</v>
      </c>
      <c r="C4" t="s">
        <v>164</v>
      </c>
      <c r="D4" t="s">
        <v>169</v>
      </c>
      <c r="E4" t="s">
        <v>165</v>
      </c>
    </row>
    <row r="5" spans="2:5" x14ac:dyDescent="0.3">
      <c r="B5">
        <v>0</v>
      </c>
      <c r="C5">
        <v>0</v>
      </c>
      <c r="D5">
        <v>0</v>
      </c>
      <c r="E5">
        <v>0</v>
      </c>
    </row>
    <row r="6" spans="2:5" x14ac:dyDescent="0.3">
      <c r="B6">
        <v>1</v>
      </c>
      <c r="C6">
        <v>0</v>
      </c>
      <c r="D6">
        <v>0</v>
      </c>
      <c r="E6">
        <v>1</v>
      </c>
    </row>
    <row r="7" spans="2:5" x14ac:dyDescent="0.3">
      <c r="B7">
        <v>3</v>
      </c>
      <c r="C7">
        <v>0</v>
      </c>
      <c r="D7">
        <v>1</v>
      </c>
      <c r="E7">
        <v>1</v>
      </c>
    </row>
    <row r="8" spans="2:5" x14ac:dyDescent="0.3">
      <c r="B8">
        <v>7</v>
      </c>
      <c r="C8">
        <v>1</v>
      </c>
      <c r="D8">
        <v>1</v>
      </c>
      <c r="E8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Normalform</vt:lpstr>
      <vt:lpstr>WITH CHECK</vt:lpstr>
      <vt:lpstr>SELECT</vt:lpstr>
      <vt:lpstr>WITH TIES</vt:lpstr>
      <vt:lpstr>TOP</vt:lpstr>
      <vt:lpstr>JOIN</vt:lpstr>
      <vt:lpstr>TIME</vt:lpstr>
      <vt:lpstr>GROUPING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Krause</dc:creator>
  <cp:lastModifiedBy>Andreas Krause</cp:lastModifiedBy>
  <dcterms:created xsi:type="dcterms:W3CDTF">2021-09-06T06:39:49Z</dcterms:created>
  <dcterms:modified xsi:type="dcterms:W3CDTF">2021-09-09T07:03:09Z</dcterms:modified>
</cp:coreProperties>
</file>